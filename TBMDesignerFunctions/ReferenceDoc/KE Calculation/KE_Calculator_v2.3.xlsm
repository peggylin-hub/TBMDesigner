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p3\Source\Repos\peggylin-hub\TBMDesigner\TBMDesignerFunctions\ReferenceDoc\KE Calculation\"/>
    </mc:Choice>
  </mc:AlternateContent>
  <xr:revisionPtr revIDLastSave="0" documentId="13_ncr:1_{8A2944DD-6C0A-4978-A7DB-B9919DC6EFFB}" xr6:coauthVersionLast="45" xr6:coauthVersionMax="45" xr10:uidLastSave="{00000000-0000-0000-0000-000000000000}"/>
  <bookViews>
    <workbookView xWindow="-28920" yWindow="15960" windowWidth="29040" windowHeight="15990" tabRatio="700" activeTab="3" xr2:uid="{00000000-000D-0000-FFFF-FFFF00000000}"/>
  </bookViews>
  <sheets>
    <sheet name="INPUT" sheetId="4" r:id="rId1"/>
    <sheet name="Calculations" sheetId="2" r:id="rId2"/>
    <sheet name="Output" sheetId="18" r:id="rId3"/>
    <sheet name="Vehicle &amp; Track Data" sheetId="1" r:id="rId4"/>
    <sheet name="RAILS" sheetId="17" state="hidden" r:id="rId5"/>
    <sheet name="RAILS OUTPUT" sheetId="16" state="hidden" r:id="rId6"/>
    <sheet name="KE2 OUTPUT" sheetId="6" state="hidden" r:id="rId7"/>
    <sheet name="KE2" sheetId="10" state="hidden" r:id="rId8"/>
    <sheet name="KE1 OUTPUT" sheetId="3" state="hidden" r:id="rId9"/>
    <sheet name="KE1" sheetId="9" state="hidden" r:id="rId10"/>
    <sheet name="SG OUTPUT" sheetId="5" state="hidden" r:id="rId11"/>
    <sheet name="SG" sheetId="11" state="hidden" r:id="rId12"/>
    <sheet name="TEXT" sheetId="13" state="hidden" r:id="rId13"/>
    <sheet name="TEXT OUTPUT" sheetId="12" state="hidden" r:id="rId14"/>
    <sheet name="STATIC OUTPUT" sheetId="15" state="hidden" r:id="rId15"/>
    <sheet name="STATIC" sheetId="14" state="hidden" r:id="rId16"/>
    <sheet name="Sheet1" sheetId="7" r:id="rId17"/>
  </sheets>
  <definedNames>
    <definedName name="_xlnm._FilterDatabase" localSheetId="1" hidden="1">Calculations!#REF!</definedName>
    <definedName name="ARTC_Tolerances" comment="VLookup table for vertical/lateral/super tolerances by sleeper type for ARTC">'Vehicle &amp; Track Data'!$A$73:$F$75</definedName>
    <definedName name="KE1Range">Output!$H$4:$J$31</definedName>
    <definedName name="KE2Range">Output!$M$4:$O$31</definedName>
    <definedName name="KE3Range">Output!$R$4:$T$31</definedName>
    <definedName name="KE4Range">Output!$W$4:$Y$31</definedName>
    <definedName name="Max_Left">Output!$H$55</definedName>
    <definedName name="Max_Right">Output!$H$54</definedName>
    <definedName name="Max_Vert">Output!$H$56</definedName>
    <definedName name="_xlnm.Print_Area" localSheetId="0">INPUT!$A$1:$G$54</definedName>
    <definedName name="RailsRange">Output!$H$35:$J$36</definedName>
    <definedName name="RC_Platform_Clearance">'Vehicle &amp; Track Data'!$A$89:$G$93</definedName>
    <definedName name="RC_Platform_Tolerances" comment="VLookup for reduced vertical, lateral and super tolerances at platforms for RailCorp Infrastructure">'Vehicle &amp; Track Data'!$A$80:$E$84</definedName>
    <definedName name="RC_Tolerances" comment="VLookup table for vertical/lateral/super tolerances by sleeper type for RailCorp">'Vehicle &amp; Track Data'!$A$66:$G$68</definedName>
    <definedName name="Sleeper_Type">INPUT!$C$6</definedName>
    <definedName name="StaticRange">Output!$C$4:$E$31</definedName>
    <definedName name="Str_Height">Output!$H$60</definedName>
    <definedName name="Str_Left">Output!$H$58</definedName>
    <definedName name="Str_Right">Output!$H$59</definedName>
    <definedName name="StructureGaugeRange">Output!$C$35:$E$40</definedName>
    <definedName name="TextRange">Output!$AA$3:$AA$25</definedName>
    <definedName name="Vehicle_Characteristics">'Vehicle &amp; Track Data'!$A$44:$H$60</definedName>
    <definedName name="Vehicle_Type">INPUT!$C$4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1" i="1" l="1"/>
  <c r="AD38" i="1" l="1"/>
  <c r="AD19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39" i="1" l="1"/>
  <c r="AD20" i="1"/>
  <c r="B52" i="4"/>
  <c r="B51" i="4" l="1"/>
  <c r="AA3" i="18" l="1"/>
  <c r="V2" i="18"/>
  <c r="Q2" i="18"/>
  <c r="L2" i="18"/>
  <c r="G2" i="18"/>
  <c r="D14" i="2" l="1"/>
  <c r="AA5" i="18" l="1"/>
  <c r="D138" i="2"/>
  <c r="D135" i="2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B13" i="4"/>
  <c r="J30" i="1"/>
  <c r="U30" i="1" s="1"/>
  <c r="M30" i="1"/>
  <c r="R30" i="1" s="1"/>
  <c r="M11" i="1"/>
  <c r="R11" i="1" s="1"/>
  <c r="L11" i="1"/>
  <c r="S11" i="1" s="1"/>
  <c r="K11" i="1"/>
  <c r="L30" i="1"/>
  <c r="S30" i="1" s="1"/>
  <c r="K30" i="1"/>
  <c r="T30" i="1" s="1"/>
  <c r="I30" i="1"/>
  <c r="V30" i="1" s="1"/>
  <c r="H30" i="1"/>
  <c r="J11" i="1"/>
  <c r="U11" i="1" s="1"/>
  <c r="I11" i="1"/>
  <c r="V11" i="1" s="1"/>
  <c r="H11" i="1"/>
  <c r="W11" i="1" s="1"/>
  <c r="D35" i="18"/>
  <c r="D36" i="18"/>
  <c r="D39" i="18"/>
  <c r="D40" i="18"/>
  <c r="C1" i="5"/>
  <c r="F1" i="5" s="1"/>
  <c r="B1" i="11" s="1"/>
  <c r="C2" i="5"/>
  <c r="F2" i="5" s="1"/>
  <c r="B2" i="11" s="1"/>
  <c r="C5" i="5"/>
  <c r="F5" i="5" s="1"/>
  <c r="B5" i="11" s="1"/>
  <c r="C6" i="5"/>
  <c r="F6" i="5" s="1"/>
  <c r="B6" i="11" s="1"/>
  <c r="AD8" i="18"/>
  <c r="D11" i="2"/>
  <c r="D8" i="2"/>
  <c r="M6" i="2"/>
  <c r="D6" i="2"/>
  <c r="D24" i="2"/>
  <c r="D25" i="2"/>
  <c r="D26" i="2"/>
  <c r="D27" i="2"/>
  <c r="D28" i="2"/>
  <c r="D30" i="2"/>
  <c r="D31" i="2"/>
  <c r="D32" i="2"/>
  <c r="D33" i="2"/>
  <c r="D34" i="2"/>
  <c r="D35" i="2"/>
  <c r="D36" i="2"/>
  <c r="D37" i="2"/>
  <c r="D23" i="2"/>
  <c r="I128" i="2"/>
  <c r="D37" i="18" s="1"/>
  <c r="I129" i="2"/>
  <c r="D38" i="18" s="1"/>
  <c r="D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59" i="2"/>
  <c r="D3" i="2"/>
  <c r="D15" i="2" s="1"/>
  <c r="D5" i="2"/>
  <c r="AA7" i="18" s="1"/>
  <c r="A36" i="1"/>
  <c r="Q36" i="1"/>
  <c r="Q17" i="1"/>
  <c r="R36" i="1"/>
  <c r="R17" i="1"/>
  <c r="S36" i="1"/>
  <c r="S17" i="1"/>
  <c r="T36" i="1"/>
  <c r="T17" i="1"/>
  <c r="U36" i="1"/>
  <c r="U17" i="1"/>
  <c r="V36" i="1"/>
  <c r="V17" i="1"/>
  <c r="W36" i="1"/>
  <c r="W17" i="1"/>
  <c r="X36" i="1"/>
  <c r="X17" i="1"/>
  <c r="Y36" i="1"/>
  <c r="Y17" i="1"/>
  <c r="Z36" i="1"/>
  <c r="Z17" i="1"/>
  <c r="AA36" i="1"/>
  <c r="AA17" i="1"/>
  <c r="AB36" i="1"/>
  <c r="AB17" i="1"/>
  <c r="AC36" i="1"/>
  <c r="AC17" i="1"/>
  <c r="D4" i="2"/>
  <c r="A57" i="1"/>
  <c r="AC24" i="1"/>
  <c r="AC32" i="1"/>
  <c r="AC5" i="1"/>
  <c r="AC13" i="1"/>
  <c r="AB24" i="1"/>
  <c r="AB32" i="1"/>
  <c r="AB5" i="1"/>
  <c r="AB13" i="1"/>
  <c r="AA24" i="1"/>
  <c r="AA32" i="1"/>
  <c r="AA5" i="1"/>
  <c r="AA13" i="1"/>
  <c r="Z24" i="1"/>
  <c r="Z32" i="1"/>
  <c r="Z5" i="1"/>
  <c r="Z13" i="1"/>
  <c r="Y24" i="1"/>
  <c r="Y32" i="1"/>
  <c r="Y5" i="1"/>
  <c r="Y13" i="1"/>
  <c r="X24" i="1"/>
  <c r="X32" i="1"/>
  <c r="X5" i="1"/>
  <c r="X13" i="1"/>
  <c r="W24" i="1"/>
  <c r="W32" i="1"/>
  <c r="W5" i="1"/>
  <c r="W13" i="1"/>
  <c r="V24" i="1"/>
  <c r="V32" i="1"/>
  <c r="V5" i="1"/>
  <c r="V13" i="1"/>
  <c r="U24" i="1"/>
  <c r="U32" i="1"/>
  <c r="U5" i="1"/>
  <c r="U13" i="1"/>
  <c r="T24" i="1"/>
  <c r="T32" i="1"/>
  <c r="T5" i="1"/>
  <c r="T13" i="1"/>
  <c r="S24" i="1"/>
  <c r="S32" i="1"/>
  <c r="S5" i="1"/>
  <c r="S13" i="1"/>
  <c r="R24" i="1"/>
  <c r="R32" i="1"/>
  <c r="R5" i="1"/>
  <c r="R13" i="1"/>
  <c r="AD13" i="1" s="1"/>
  <c r="E53" i="1" s="1"/>
  <c r="Q24" i="1"/>
  <c r="Q32" i="1"/>
  <c r="AD32" i="1" s="1"/>
  <c r="Q5" i="1"/>
  <c r="Q13" i="1"/>
  <c r="B1" i="12"/>
  <c r="D1" i="12" s="1"/>
  <c r="A1" i="13" s="1"/>
  <c r="C2" i="17"/>
  <c r="C1" i="17"/>
  <c r="G2" i="15"/>
  <c r="C2" i="14" s="1"/>
  <c r="G3" i="15"/>
  <c r="C3" i="14" s="1"/>
  <c r="G4" i="15"/>
  <c r="C4" i="14" s="1"/>
  <c r="G5" i="15"/>
  <c r="C5" i="14" s="1"/>
  <c r="G6" i="15"/>
  <c r="C6" i="14" s="1"/>
  <c r="G7" i="15"/>
  <c r="C7" i="14"/>
  <c r="G8" i="15"/>
  <c r="C8" i="14" s="1"/>
  <c r="G9" i="15"/>
  <c r="C9" i="14"/>
  <c r="G10" i="15"/>
  <c r="C10" i="14" s="1"/>
  <c r="G11" i="15"/>
  <c r="C11" i="14"/>
  <c r="G12" i="15"/>
  <c r="C12" i="14" s="1"/>
  <c r="G13" i="15"/>
  <c r="C13" i="14" s="1"/>
  <c r="G14" i="15"/>
  <c r="C14" i="14" s="1"/>
  <c r="G15" i="15"/>
  <c r="C15" i="14" s="1"/>
  <c r="G16" i="15"/>
  <c r="C16" i="14" s="1"/>
  <c r="G17" i="15"/>
  <c r="C17" i="14" s="1"/>
  <c r="G18" i="15"/>
  <c r="C18" i="14" s="1"/>
  <c r="G19" i="15"/>
  <c r="C19" i="14" s="1"/>
  <c r="G20" i="15"/>
  <c r="C20" i="14" s="1"/>
  <c r="G21" i="15"/>
  <c r="C21" i="14" s="1"/>
  <c r="G22" i="15"/>
  <c r="C22" i="14" s="1"/>
  <c r="G23" i="15"/>
  <c r="C23" i="14"/>
  <c r="G24" i="15"/>
  <c r="C24" i="14" s="1"/>
  <c r="G25" i="15"/>
  <c r="C25" i="14" s="1"/>
  <c r="G26" i="15"/>
  <c r="C26" i="14" s="1"/>
  <c r="G27" i="15"/>
  <c r="C27" i="14"/>
  <c r="G28" i="15"/>
  <c r="C28" i="14" s="1"/>
  <c r="G1" i="15"/>
  <c r="C1" i="14" s="1"/>
  <c r="D6" i="12"/>
  <c r="B9" i="12"/>
  <c r="D9" i="12" s="1"/>
  <c r="A9" i="13" s="1"/>
  <c r="B7" i="12"/>
  <c r="D7" i="12" s="1"/>
  <c r="A7" i="13" s="1"/>
  <c r="B5" i="12"/>
  <c r="D5" i="12" s="1"/>
  <c r="A5" i="13" s="1"/>
  <c r="B4" i="12"/>
  <c r="D4" i="12" s="1"/>
  <c r="A4" i="13" s="1"/>
  <c r="B3" i="12"/>
  <c r="D3" i="12" s="1"/>
  <c r="A3" i="13" s="1"/>
  <c r="B2" i="12"/>
  <c r="D2" i="12" s="1"/>
  <c r="A2" i="13" s="1"/>
  <c r="G2" i="5"/>
  <c r="C2" i="11" s="1"/>
  <c r="G3" i="5"/>
  <c r="C3" i="11"/>
  <c r="G4" i="5"/>
  <c r="C4" i="11" s="1"/>
  <c r="G5" i="5"/>
  <c r="C5" i="11" s="1"/>
  <c r="G6" i="5"/>
  <c r="C6" i="11" s="1"/>
  <c r="G1" i="5"/>
  <c r="C1" i="11" s="1"/>
  <c r="G2" i="6"/>
  <c r="C2" i="10" s="1"/>
  <c r="G3" i="6"/>
  <c r="C3" i="10" s="1"/>
  <c r="G4" i="6"/>
  <c r="C4" i="10" s="1"/>
  <c r="G5" i="6"/>
  <c r="C5" i="10" s="1"/>
  <c r="G6" i="6"/>
  <c r="C6" i="10" s="1"/>
  <c r="G7" i="6"/>
  <c r="C7" i="10"/>
  <c r="G8" i="6"/>
  <c r="C8" i="10" s="1"/>
  <c r="G9" i="6"/>
  <c r="C9" i="10" s="1"/>
  <c r="G10" i="6"/>
  <c r="C10" i="10" s="1"/>
  <c r="G11" i="6"/>
  <c r="C11" i="10" s="1"/>
  <c r="G12" i="6"/>
  <c r="C12" i="10" s="1"/>
  <c r="G13" i="6"/>
  <c r="C13" i="10" s="1"/>
  <c r="G14" i="6"/>
  <c r="C14" i="10" s="1"/>
  <c r="G15" i="6"/>
  <c r="C15" i="10" s="1"/>
  <c r="G16" i="6"/>
  <c r="C16" i="10" s="1"/>
  <c r="G17" i="6"/>
  <c r="C17" i="10" s="1"/>
  <c r="G18" i="6"/>
  <c r="C18" i="10" s="1"/>
  <c r="G19" i="6"/>
  <c r="C19" i="10" s="1"/>
  <c r="G20" i="6"/>
  <c r="C20" i="10" s="1"/>
  <c r="G21" i="6"/>
  <c r="C21" i="10" s="1"/>
  <c r="G22" i="6"/>
  <c r="C22" i="10" s="1"/>
  <c r="G23" i="6"/>
  <c r="C23" i="10" s="1"/>
  <c r="G24" i="6"/>
  <c r="C24" i="10" s="1"/>
  <c r="G25" i="6"/>
  <c r="C25" i="10" s="1"/>
  <c r="G26" i="6"/>
  <c r="C26" i="10" s="1"/>
  <c r="G27" i="6"/>
  <c r="C27" i="10" s="1"/>
  <c r="G28" i="6"/>
  <c r="C28" i="10" s="1"/>
  <c r="G1" i="6"/>
  <c r="C1" i="10" s="1"/>
  <c r="G2" i="3"/>
  <c r="C2" i="9" s="1"/>
  <c r="G3" i="3"/>
  <c r="C3" i="9" s="1"/>
  <c r="G4" i="3"/>
  <c r="C4" i="9" s="1"/>
  <c r="G5" i="3"/>
  <c r="C5" i="9" s="1"/>
  <c r="G6" i="3"/>
  <c r="C6" i="9" s="1"/>
  <c r="G7" i="3"/>
  <c r="C7" i="9" s="1"/>
  <c r="G8" i="3"/>
  <c r="C8" i="9" s="1"/>
  <c r="G9" i="3"/>
  <c r="C9" i="9" s="1"/>
  <c r="G10" i="3"/>
  <c r="C10" i="9" s="1"/>
  <c r="G11" i="3"/>
  <c r="C11" i="9" s="1"/>
  <c r="G12" i="3"/>
  <c r="C12" i="9" s="1"/>
  <c r="G13" i="3"/>
  <c r="C13" i="9" s="1"/>
  <c r="G14" i="3"/>
  <c r="C14" i="9" s="1"/>
  <c r="G15" i="3"/>
  <c r="C15" i="9" s="1"/>
  <c r="G16" i="3"/>
  <c r="C16" i="9" s="1"/>
  <c r="G17" i="3"/>
  <c r="C17" i="9" s="1"/>
  <c r="G18" i="3"/>
  <c r="C18" i="9" s="1"/>
  <c r="G19" i="3"/>
  <c r="C19" i="9" s="1"/>
  <c r="G20" i="3"/>
  <c r="C20" i="9" s="1"/>
  <c r="G21" i="3"/>
  <c r="C21" i="9" s="1"/>
  <c r="G22" i="3"/>
  <c r="C22" i="9" s="1"/>
  <c r="G23" i="3"/>
  <c r="C23" i="9" s="1"/>
  <c r="G24" i="3"/>
  <c r="C24" i="9" s="1"/>
  <c r="G25" i="3"/>
  <c r="C25" i="9" s="1"/>
  <c r="G26" i="3"/>
  <c r="C26" i="9" s="1"/>
  <c r="G27" i="3"/>
  <c r="C27" i="9" s="1"/>
  <c r="G28" i="3"/>
  <c r="C28" i="9" s="1"/>
  <c r="G1" i="3"/>
  <c r="C1" i="9" s="1"/>
  <c r="I245" i="4"/>
  <c r="I246" i="4"/>
  <c r="I247" i="4"/>
  <c r="I244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29" i="4"/>
  <c r="AD17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60" i="1"/>
  <c r="A59" i="1"/>
  <c r="A58" i="1"/>
  <c r="D55" i="1"/>
  <c r="D54" i="1"/>
  <c r="D53" i="1"/>
  <c r="D52" i="1"/>
  <c r="D51" i="1"/>
  <c r="D50" i="1"/>
  <c r="D49" i="1"/>
  <c r="D48" i="1"/>
  <c r="D47" i="1"/>
  <c r="D46" i="1"/>
  <c r="D45" i="1"/>
  <c r="D44" i="1"/>
  <c r="A39" i="1"/>
  <c r="A38" i="1"/>
  <c r="A37" i="1"/>
  <c r="E60" i="2" s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C31" i="1"/>
  <c r="AB31" i="1"/>
  <c r="AA31" i="1"/>
  <c r="Z31" i="1"/>
  <c r="Y31" i="1"/>
  <c r="X31" i="1"/>
  <c r="W31" i="1"/>
  <c r="E44" i="2" s="1"/>
  <c r="V31" i="1"/>
  <c r="U31" i="1"/>
  <c r="T31" i="1"/>
  <c r="S31" i="1"/>
  <c r="R31" i="1"/>
  <c r="E75" i="2" s="1"/>
  <c r="Q31" i="1"/>
  <c r="AC30" i="1"/>
  <c r="AB30" i="1"/>
  <c r="AA30" i="1"/>
  <c r="Z30" i="1"/>
  <c r="Y30" i="1"/>
  <c r="X30" i="1"/>
  <c r="W30" i="1"/>
  <c r="Q30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C23" i="1"/>
  <c r="E86" i="2" s="1"/>
  <c r="AB23" i="1"/>
  <c r="AA23" i="1"/>
  <c r="E48" i="2" s="1"/>
  <c r="Z23" i="1"/>
  <c r="Y23" i="1"/>
  <c r="X23" i="1"/>
  <c r="E45" i="2" s="1"/>
  <c r="W23" i="1"/>
  <c r="V23" i="1"/>
  <c r="U23" i="1"/>
  <c r="E78" i="2" s="1"/>
  <c r="T23" i="1"/>
  <c r="S23" i="1"/>
  <c r="R23" i="1"/>
  <c r="Q23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C12" i="1"/>
  <c r="AB12" i="1"/>
  <c r="D85" i="2" s="1"/>
  <c r="AA12" i="1"/>
  <c r="Z12" i="1"/>
  <c r="Y12" i="1"/>
  <c r="X12" i="1"/>
  <c r="W12" i="1"/>
  <c r="D44" i="2" s="1"/>
  <c r="V12" i="1"/>
  <c r="U12" i="1"/>
  <c r="T12" i="1"/>
  <c r="S12" i="1"/>
  <c r="R12" i="1"/>
  <c r="Q12" i="1"/>
  <c r="AC11" i="1"/>
  <c r="AB11" i="1"/>
  <c r="AA11" i="1"/>
  <c r="Z11" i="1"/>
  <c r="Y11" i="1"/>
  <c r="X11" i="1"/>
  <c r="T11" i="1"/>
  <c r="Q11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C4" i="1"/>
  <c r="AB4" i="1"/>
  <c r="AA4" i="1"/>
  <c r="Z4" i="1"/>
  <c r="Y4" i="1"/>
  <c r="D46" i="2" s="1"/>
  <c r="X4" i="1"/>
  <c r="W4" i="1"/>
  <c r="V4" i="1"/>
  <c r="U4" i="1"/>
  <c r="T4" i="1"/>
  <c r="D77" i="2" s="1"/>
  <c r="S4" i="1"/>
  <c r="D40" i="2" s="1"/>
  <c r="R4" i="1"/>
  <c r="Q4" i="1"/>
  <c r="D38" i="2" s="1"/>
  <c r="D39" i="2"/>
  <c r="D75" i="2"/>
  <c r="D41" i="2"/>
  <c r="D81" i="2"/>
  <c r="D47" i="2"/>
  <c r="D83" i="2"/>
  <c r="E39" i="2"/>
  <c r="E43" i="2"/>
  <c r="E83" i="2"/>
  <c r="D76" i="2"/>
  <c r="D48" i="2"/>
  <c r="D84" i="2"/>
  <c r="D50" i="2"/>
  <c r="D86" i="2"/>
  <c r="E82" i="2"/>
  <c r="D82" i="2" l="1"/>
  <c r="D42" i="2"/>
  <c r="D43" i="2"/>
  <c r="E74" i="2"/>
  <c r="AD28" i="1"/>
  <c r="E84" i="2"/>
  <c r="D74" i="2"/>
  <c r="D45" i="2"/>
  <c r="D80" i="2"/>
  <c r="E80" i="2"/>
  <c r="D78" i="2"/>
  <c r="D49" i="2"/>
  <c r="AD4" i="1"/>
  <c r="E44" i="1" s="1"/>
  <c r="AD24" i="1"/>
  <c r="D79" i="2"/>
  <c r="AD33" i="1"/>
  <c r="AD5" i="1"/>
  <c r="E45" i="1" s="1"/>
  <c r="AA4" i="18"/>
  <c r="D10" i="2"/>
  <c r="D7" i="2" s="1"/>
  <c r="D139" i="2"/>
  <c r="D140" i="2"/>
  <c r="AA6" i="18"/>
  <c r="D142" i="2"/>
  <c r="D141" i="2"/>
  <c r="AA9" i="18"/>
  <c r="H60" i="18"/>
  <c r="J31" i="4" s="1"/>
  <c r="D29" i="2"/>
  <c r="C3" i="5"/>
  <c r="F3" i="5" s="1"/>
  <c r="B3" i="11" s="1"/>
  <c r="G5" i="2"/>
  <c r="G9" i="2"/>
  <c r="AA11" i="18" s="1"/>
  <c r="G7" i="2"/>
  <c r="G4" i="2"/>
  <c r="G6" i="2"/>
  <c r="C4" i="5"/>
  <c r="F4" i="5" s="1"/>
  <c r="B4" i="11" s="1"/>
  <c r="G8" i="2"/>
  <c r="AA13" i="18" s="1"/>
  <c r="J12" i="2"/>
  <c r="AA19" i="18" s="1"/>
  <c r="J5" i="2"/>
  <c r="J3" i="2"/>
  <c r="J8" i="2"/>
  <c r="J6" i="2"/>
  <c r="J4" i="2"/>
  <c r="AA20" i="18" s="1"/>
  <c r="AD27" i="1"/>
  <c r="AD35" i="1"/>
  <c r="AD14" i="1"/>
  <c r="E54" i="1" s="1"/>
  <c r="AD8" i="1"/>
  <c r="E48" i="1" s="1"/>
  <c r="AD36" i="1"/>
  <c r="AD7" i="1"/>
  <c r="E47" i="1" s="1"/>
  <c r="AD10" i="1"/>
  <c r="E50" i="1" s="1"/>
  <c r="AD12" i="1"/>
  <c r="E52" i="1" s="1"/>
  <c r="AD25" i="1"/>
  <c r="AD26" i="1"/>
  <c r="AD29" i="1"/>
  <c r="AD31" i="1"/>
  <c r="AD16" i="1"/>
  <c r="AD37" i="1"/>
  <c r="AD18" i="1"/>
  <c r="E40" i="2"/>
  <c r="E85" i="2"/>
  <c r="E79" i="2"/>
  <c r="AD6" i="1"/>
  <c r="E46" i="1" s="1"/>
  <c r="AD15" i="1"/>
  <c r="E55" i="1" s="1"/>
  <c r="AD23" i="1"/>
  <c r="D12" i="2"/>
  <c r="AD9" i="1"/>
  <c r="E49" i="1" s="1"/>
  <c r="B16" i="12"/>
  <c r="D16" i="12" s="1"/>
  <c r="A16" i="13" s="1"/>
  <c r="B15" i="12"/>
  <c r="D15" i="12" s="1"/>
  <c r="A15" i="13" s="1"/>
  <c r="E25" i="2"/>
  <c r="E27" i="2"/>
  <c r="E29" i="2"/>
  <c r="E31" i="2"/>
  <c r="E33" i="2"/>
  <c r="E35" i="2"/>
  <c r="E37" i="2"/>
  <c r="E61" i="2"/>
  <c r="E63" i="2"/>
  <c r="E65" i="2"/>
  <c r="E67" i="2"/>
  <c r="E69" i="2"/>
  <c r="E71" i="2"/>
  <c r="E73" i="2"/>
  <c r="E41" i="2"/>
  <c r="E81" i="2"/>
  <c r="E49" i="2"/>
  <c r="E38" i="2"/>
  <c r="E42" i="2"/>
  <c r="E46" i="2"/>
  <c r="E50" i="2"/>
  <c r="E24" i="2"/>
  <c r="E26" i="2"/>
  <c r="E28" i="2"/>
  <c r="E30" i="2"/>
  <c r="E32" i="2"/>
  <c r="E34" i="2"/>
  <c r="E36" i="2"/>
  <c r="E23" i="2"/>
  <c r="E59" i="2"/>
  <c r="E66" i="2"/>
  <c r="M3" i="2"/>
  <c r="E68" i="2"/>
  <c r="AD11" i="1"/>
  <c r="E51" i="1" s="1"/>
  <c r="AD30" i="1"/>
  <c r="E76" i="2"/>
  <c r="E47" i="2"/>
  <c r="E77" i="2"/>
  <c r="E70" i="2"/>
  <c r="E62" i="2"/>
  <c r="AD34" i="1"/>
  <c r="B14" i="12"/>
  <c r="D14" i="12" s="1"/>
  <c r="A14" i="13" s="1"/>
  <c r="E72" i="2"/>
  <c r="E64" i="2"/>
  <c r="J7" i="2" l="1"/>
  <c r="D143" i="2"/>
  <c r="D16" i="2"/>
  <c r="D136" i="2" s="1"/>
  <c r="H136" i="2" s="1"/>
  <c r="I140" i="2"/>
  <c r="B8" i="12"/>
  <c r="D8" i="12" s="1"/>
  <c r="A8" i="13" s="1"/>
  <c r="J9" i="2"/>
  <c r="AA18" i="18"/>
  <c r="B10" i="12"/>
  <c r="D10" i="12" s="1"/>
  <c r="A10" i="13" s="1"/>
  <c r="AA14" i="18"/>
  <c r="AA8" i="18"/>
  <c r="M7" i="2"/>
  <c r="M8" i="2"/>
  <c r="J60" i="2" s="1"/>
  <c r="M10" i="2"/>
  <c r="E127" i="2"/>
  <c r="E126" i="2"/>
  <c r="M4" i="2"/>
  <c r="F48" i="2" s="1"/>
  <c r="H48" i="2" s="1"/>
  <c r="AB84" i="2"/>
  <c r="AB82" i="2"/>
  <c r="AB80" i="2"/>
  <c r="AB78" i="2"/>
  <c r="AB76" i="2"/>
  <c r="AB74" i="2"/>
  <c r="AB72" i="2"/>
  <c r="AB70" i="2"/>
  <c r="AB68" i="2"/>
  <c r="AB66" i="2"/>
  <c r="AB64" i="2"/>
  <c r="AB62" i="2"/>
  <c r="AB60" i="2"/>
  <c r="AB58" i="2"/>
  <c r="AB56" i="2"/>
  <c r="AB83" i="2"/>
  <c r="AB81" i="2"/>
  <c r="AB79" i="2"/>
  <c r="AB77" i="2"/>
  <c r="AB75" i="2"/>
  <c r="AB73" i="2"/>
  <c r="AB71" i="2"/>
  <c r="AB69" i="2"/>
  <c r="AB67" i="2"/>
  <c r="AB65" i="2"/>
  <c r="AB63" i="2"/>
  <c r="AB61" i="2"/>
  <c r="AB59" i="2"/>
  <c r="AB57" i="2"/>
  <c r="AB55" i="2"/>
  <c r="G10" i="2"/>
  <c r="AA12" i="18" s="1"/>
  <c r="AB36" i="2"/>
  <c r="AB24" i="2"/>
  <c r="AB50" i="2"/>
  <c r="AB37" i="2"/>
  <c r="AB39" i="2"/>
  <c r="AB45" i="2"/>
  <c r="AB31" i="2"/>
  <c r="AB25" i="2"/>
  <c r="AB30" i="2"/>
  <c r="AB33" i="2"/>
  <c r="AB47" i="2"/>
  <c r="AB51" i="2"/>
  <c r="AB38" i="2"/>
  <c r="AB43" i="2"/>
  <c r="AB22" i="2"/>
  <c r="AA16" i="18" s="1"/>
  <c r="AB28" i="2"/>
  <c r="AB26" i="2"/>
  <c r="D13" i="2"/>
  <c r="AB40" i="2"/>
  <c r="AB35" i="2"/>
  <c r="AB23" i="2"/>
  <c r="AB32" i="2"/>
  <c r="AB48" i="2"/>
  <c r="AB34" i="2"/>
  <c r="AB29" i="2"/>
  <c r="AB41" i="2"/>
  <c r="AB44" i="2"/>
  <c r="AB42" i="2"/>
  <c r="AB27" i="2"/>
  <c r="AB49" i="2"/>
  <c r="AB46" i="2"/>
  <c r="J11" i="2"/>
  <c r="AC69" i="2" l="1"/>
  <c r="AC43" i="2"/>
  <c r="AC29" i="2"/>
  <c r="AC77" i="2"/>
  <c r="AC72" i="2"/>
  <c r="AC41" i="2"/>
  <c r="AC73" i="2"/>
  <c r="AC34" i="2"/>
  <c r="AC48" i="2"/>
  <c r="AC79" i="2"/>
  <c r="AC33" i="2"/>
  <c r="AC57" i="2"/>
  <c r="AC59" i="2"/>
  <c r="AC83" i="2"/>
  <c r="AC78" i="2"/>
  <c r="AC28" i="2"/>
  <c r="AC68" i="2"/>
  <c r="AC70" i="2"/>
  <c r="AC35" i="2"/>
  <c r="AC25" i="2"/>
  <c r="AC61" i="2"/>
  <c r="AC56" i="2"/>
  <c r="AC80" i="2"/>
  <c r="AC37" i="2"/>
  <c r="AC24" i="2"/>
  <c r="AC38" i="2"/>
  <c r="AC75" i="2"/>
  <c r="AC47" i="2"/>
  <c r="AC74" i="2"/>
  <c r="AC76" i="2"/>
  <c r="AC30" i="2"/>
  <c r="AC46" i="2"/>
  <c r="AC40" i="2"/>
  <c r="AC31" i="2"/>
  <c r="AC63" i="2"/>
  <c r="AC58" i="2"/>
  <c r="AC82" i="2"/>
  <c r="AC36" i="2"/>
  <c r="AC51" i="2"/>
  <c r="AC49" i="2"/>
  <c r="AC45" i="2"/>
  <c r="AC65" i="2"/>
  <c r="AC60" i="2"/>
  <c r="AC84" i="2"/>
  <c r="AC55" i="2"/>
  <c r="AC32" i="2"/>
  <c r="AC81" i="2"/>
  <c r="AC23" i="2"/>
  <c r="AA17" i="18" s="1"/>
  <c r="AC27" i="2"/>
  <c r="AC26" i="2"/>
  <c r="AC39" i="2"/>
  <c r="AC67" i="2"/>
  <c r="AC62" i="2"/>
  <c r="AC42" i="2"/>
  <c r="AC64" i="2"/>
  <c r="AC44" i="2"/>
  <c r="AC50" i="2"/>
  <c r="AC71" i="2"/>
  <c r="AC66" i="2"/>
  <c r="D144" i="2"/>
  <c r="D145" i="2" s="1"/>
  <c r="H137" i="2" s="1"/>
  <c r="J33" i="4" s="1"/>
  <c r="D137" i="2"/>
  <c r="D146" i="2" s="1"/>
  <c r="I137" i="2" s="1"/>
  <c r="J34" i="4" s="1"/>
  <c r="J39" i="2"/>
  <c r="L110" i="2" s="1"/>
  <c r="J43" i="2"/>
  <c r="L114" i="2" s="1"/>
  <c r="J26" i="2"/>
  <c r="L97" i="2" s="1"/>
  <c r="F44" i="2"/>
  <c r="J38" i="2"/>
  <c r="L109" i="2" s="1"/>
  <c r="K32" i="2"/>
  <c r="M103" i="2" s="1"/>
  <c r="C10" i="15" s="1"/>
  <c r="F10" i="15" s="1"/>
  <c r="B10" i="14" s="1"/>
  <c r="F45" i="2"/>
  <c r="H45" i="2" s="1"/>
  <c r="J25" i="2"/>
  <c r="L96" i="2" s="1"/>
  <c r="AC22" i="2"/>
  <c r="H131" i="2" s="1"/>
  <c r="K26" i="2"/>
  <c r="M97" i="2" s="1"/>
  <c r="D7" i="18" s="1"/>
  <c r="J27" i="2"/>
  <c r="L98" i="2" s="1"/>
  <c r="J44" i="2"/>
  <c r="L115" i="2" s="1"/>
  <c r="K48" i="2"/>
  <c r="M119" i="2" s="1"/>
  <c r="C26" i="15" s="1"/>
  <c r="F26" i="15" s="1"/>
  <c r="B26" i="14" s="1"/>
  <c r="J49" i="2"/>
  <c r="L120" i="2" s="1"/>
  <c r="J34" i="2"/>
  <c r="L105" i="2" s="1"/>
  <c r="K39" i="2"/>
  <c r="M110" i="2" s="1"/>
  <c r="C17" i="15" s="1"/>
  <c r="F17" i="15" s="1"/>
  <c r="B17" i="14" s="1"/>
  <c r="J48" i="2"/>
  <c r="L119" i="2" s="1"/>
  <c r="K29" i="2"/>
  <c r="M100" i="2" s="1"/>
  <c r="D10" i="18" s="1"/>
  <c r="J33" i="2"/>
  <c r="L104" i="2" s="1"/>
  <c r="J47" i="2"/>
  <c r="L118" i="2" s="1"/>
  <c r="F43" i="2"/>
  <c r="H43" i="2" s="1"/>
  <c r="J28" i="2"/>
  <c r="L99" i="2" s="1"/>
  <c r="J46" i="2"/>
  <c r="L117" i="2" s="1"/>
  <c r="K47" i="2"/>
  <c r="M118" i="2" s="1"/>
  <c r="D28" i="18" s="1"/>
  <c r="K37" i="2"/>
  <c r="M108" i="2" s="1"/>
  <c r="D18" i="18" s="1"/>
  <c r="J30" i="2"/>
  <c r="L101" i="2" s="1"/>
  <c r="F30" i="2"/>
  <c r="H30" i="2" s="1"/>
  <c r="F38" i="2"/>
  <c r="F22" i="2"/>
  <c r="H22" i="2" s="1"/>
  <c r="H67" i="2"/>
  <c r="J66" i="2"/>
  <c r="L64" i="2"/>
  <c r="N64" i="2" s="1"/>
  <c r="G61" i="2"/>
  <c r="I69" i="2"/>
  <c r="I77" i="2"/>
  <c r="J71" i="2"/>
  <c r="N22" i="2"/>
  <c r="X55" i="2" s="1"/>
  <c r="N42" i="2"/>
  <c r="X75" i="2" s="1"/>
  <c r="N38" i="2"/>
  <c r="X71" i="2" s="1"/>
  <c r="N49" i="2"/>
  <c r="X82" i="2" s="1"/>
  <c r="J73" i="2"/>
  <c r="N73" i="2" s="1"/>
  <c r="G62" i="2"/>
  <c r="G63" i="2"/>
  <c r="M70" i="2"/>
  <c r="H76" i="2"/>
  <c r="G72" i="2"/>
  <c r="G80" i="2"/>
  <c r="M75" i="2"/>
  <c r="M84" i="2"/>
  <c r="F79" i="2"/>
  <c r="P49" i="2"/>
  <c r="Q49" i="2" s="1"/>
  <c r="P34" i="2"/>
  <c r="Q34" i="2" s="1"/>
  <c r="F66" i="2"/>
  <c r="H64" i="2"/>
  <c r="J61" i="2"/>
  <c r="F69" i="2"/>
  <c r="N69" i="2" s="1"/>
  <c r="K81" i="2"/>
  <c r="H77" i="2"/>
  <c r="H71" i="2"/>
  <c r="N37" i="2"/>
  <c r="X70" i="2" s="1"/>
  <c r="H73" i="2"/>
  <c r="K68" i="2"/>
  <c r="J59" i="2"/>
  <c r="G76" i="2"/>
  <c r="J82" i="2"/>
  <c r="F80" i="2"/>
  <c r="J75" i="2"/>
  <c r="J78" i="2"/>
  <c r="H60" i="2"/>
  <c r="F67" i="2"/>
  <c r="L66" i="2"/>
  <c r="F64" i="2"/>
  <c r="H61" i="2"/>
  <c r="K69" i="2"/>
  <c r="J81" i="2"/>
  <c r="I71" i="2"/>
  <c r="K73" i="2"/>
  <c r="O73" i="2" s="1"/>
  <c r="J68" i="2"/>
  <c r="F63" i="2"/>
  <c r="F70" i="2"/>
  <c r="N70" i="2" s="1"/>
  <c r="F59" i="2"/>
  <c r="K72" i="2"/>
  <c r="O72" i="2" s="1"/>
  <c r="G75" i="2"/>
  <c r="K85" i="2"/>
  <c r="F84" i="2"/>
  <c r="P23" i="2"/>
  <c r="Q23" i="2" s="1"/>
  <c r="K78" i="2"/>
  <c r="G86" i="2"/>
  <c r="M67" i="2"/>
  <c r="K64" i="2"/>
  <c r="H69" i="2"/>
  <c r="H81" i="2"/>
  <c r="N81" i="2" s="1"/>
  <c r="K77" i="2"/>
  <c r="O77" i="2" s="1"/>
  <c r="M71" i="2"/>
  <c r="N31" i="2"/>
  <c r="X64" i="2" s="1"/>
  <c r="AS64" i="2" s="1"/>
  <c r="AV64" i="2" s="1"/>
  <c r="N32" i="2"/>
  <c r="X65" i="2" s="1"/>
  <c r="AS65" i="2" s="1"/>
  <c r="AT65" i="2" s="1"/>
  <c r="N41" i="2"/>
  <c r="X74" i="2" s="1"/>
  <c r="F65" i="2"/>
  <c r="L68" i="2"/>
  <c r="J62" i="2"/>
  <c r="I70" i="2"/>
  <c r="M76" i="2"/>
  <c r="P32" i="2"/>
  <c r="Q32" i="2" s="1"/>
  <c r="P27" i="2"/>
  <c r="Q27" i="2" s="1"/>
  <c r="P35" i="2"/>
  <c r="Q35" i="2" s="1"/>
  <c r="P33" i="2"/>
  <c r="Q33" i="2" s="1"/>
  <c r="L60" i="2"/>
  <c r="N60" i="2" s="1"/>
  <c r="J50" i="2"/>
  <c r="L121" i="2" s="1"/>
  <c r="N39" i="2"/>
  <c r="X72" i="2" s="1"/>
  <c r="N43" i="2"/>
  <c r="X76" i="2" s="1"/>
  <c r="K38" i="2"/>
  <c r="M109" i="2" s="1"/>
  <c r="D19" i="18" s="1"/>
  <c r="N40" i="2"/>
  <c r="X73" i="2" s="1"/>
  <c r="K49" i="2"/>
  <c r="M120" i="2" s="1"/>
  <c r="D30" i="18" s="1"/>
  <c r="J45" i="2"/>
  <c r="L116" i="2" s="1"/>
  <c r="J37" i="2"/>
  <c r="L108" i="2" s="1"/>
  <c r="J22" i="2"/>
  <c r="J29" i="2"/>
  <c r="L100" i="2" s="1"/>
  <c r="J32" i="2"/>
  <c r="L103" i="2" s="1"/>
  <c r="J51" i="2"/>
  <c r="J41" i="2"/>
  <c r="L112" i="2" s="1"/>
  <c r="J36" i="2"/>
  <c r="L107" i="2" s="1"/>
  <c r="K41" i="2"/>
  <c r="M112" i="2" s="1"/>
  <c r="C19" i="15" s="1"/>
  <c r="F19" i="15" s="1"/>
  <c r="B19" i="14" s="1"/>
  <c r="F32" i="2"/>
  <c r="H32" i="2" s="1"/>
  <c r="F42" i="2"/>
  <c r="H42" i="2" s="1"/>
  <c r="F46" i="2"/>
  <c r="K24" i="2"/>
  <c r="M95" i="2" s="1"/>
  <c r="D5" i="18" s="1"/>
  <c r="N30" i="2"/>
  <c r="X63" i="2" s="1"/>
  <c r="AS63" i="2" s="1"/>
  <c r="AT63" i="2" s="1"/>
  <c r="K23" i="2"/>
  <c r="M94" i="2" s="1"/>
  <c r="D4" i="18" s="1"/>
  <c r="K46" i="2"/>
  <c r="M117" i="2" s="1"/>
  <c r="D27" i="18" s="1"/>
  <c r="K40" i="2"/>
  <c r="M111" i="2" s="1"/>
  <c r="D21" i="18" s="1"/>
  <c r="K45" i="2"/>
  <c r="M116" i="2" s="1"/>
  <c r="C23" i="15" s="1"/>
  <c r="F23" i="15" s="1"/>
  <c r="B23" i="14" s="1"/>
  <c r="J42" i="2"/>
  <c r="L113" i="2" s="1"/>
  <c r="M5" i="2"/>
  <c r="J31" i="2"/>
  <c r="L102" i="2" s="1"/>
  <c r="K27" i="2"/>
  <c r="M98" i="2" s="1"/>
  <c r="D8" i="18" s="1"/>
  <c r="K50" i="2"/>
  <c r="M121" i="2" s="1"/>
  <c r="C28" i="15" s="1"/>
  <c r="F28" i="15" s="1"/>
  <c r="B28" i="14" s="1"/>
  <c r="K30" i="2"/>
  <c r="M101" i="2" s="1"/>
  <c r="C8" i="15" s="1"/>
  <c r="F8" i="15" s="1"/>
  <c r="B8" i="14" s="1"/>
  <c r="K33" i="2"/>
  <c r="M104" i="2" s="1"/>
  <c r="C11" i="15" s="1"/>
  <c r="F11" i="15" s="1"/>
  <c r="B11" i="14" s="1"/>
  <c r="K25" i="2"/>
  <c r="M96" i="2" s="1"/>
  <c r="D6" i="18" s="1"/>
  <c r="F27" i="2"/>
  <c r="F34" i="2"/>
  <c r="F33" i="2"/>
  <c r="J67" i="2"/>
  <c r="M66" i="2"/>
  <c r="K66" i="2"/>
  <c r="G64" i="2"/>
  <c r="L61" i="2"/>
  <c r="N61" i="2" s="1"/>
  <c r="J69" i="2"/>
  <c r="F81" i="2"/>
  <c r="G77" i="2"/>
  <c r="F77" i="2"/>
  <c r="G71" i="2"/>
  <c r="N29" i="2"/>
  <c r="X62" i="2" s="1"/>
  <c r="AS62" i="2" s="1"/>
  <c r="AT62" i="2" s="1"/>
  <c r="N47" i="2"/>
  <c r="X80" i="2" s="1"/>
  <c r="I65" i="2"/>
  <c r="I73" i="2"/>
  <c r="K62" i="2"/>
  <c r="I63" i="2"/>
  <c r="K70" i="2"/>
  <c r="K59" i="2"/>
  <c r="K76" i="2"/>
  <c r="F72" i="2"/>
  <c r="N72" i="2" s="1"/>
  <c r="J84" i="2"/>
  <c r="P37" i="2"/>
  <c r="Q37" i="2" s="1"/>
  <c r="J79" i="2"/>
  <c r="H80" i="2"/>
  <c r="M80" i="2"/>
  <c r="I74" i="2"/>
  <c r="M83" i="2"/>
  <c r="F86" i="2"/>
  <c r="K58" i="2"/>
  <c r="H85" i="2"/>
  <c r="N85" i="2" s="1"/>
  <c r="M82" i="2"/>
  <c r="H87" i="2"/>
  <c r="N87" i="2" s="1"/>
  <c r="L58" i="2"/>
  <c r="N58" i="2" s="1"/>
  <c r="P28" i="2"/>
  <c r="Q28" i="2" s="1"/>
  <c r="P45" i="2"/>
  <c r="Q45" i="2" s="1"/>
  <c r="J58" i="2"/>
  <c r="J86" i="2"/>
  <c r="F60" i="2"/>
  <c r="K86" i="2"/>
  <c r="L86" i="2"/>
  <c r="P31" i="2"/>
  <c r="Q31" i="2" s="1"/>
  <c r="F58" i="2"/>
  <c r="F83" i="2"/>
  <c r="P48" i="2"/>
  <c r="Q48" i="2" s="1"/>
  <c r="I82" i="2"/>
  <c r="O82" i="2" s="1"/>
  <c r="P46" i="2"/>
  <c r="Q46" i="2" s="1"/>
  <c r="I84" i="2"/>
  <c r="O84" i="2" s="1"/>
  <c r="M78" i="2"/>
  <c r="F74" i="2"/>
  <c r="L85" i="2"/>
  <c r="L79" i="2"/>
  <c r="P44" i="2"/>
  <c r="Q44" i="2" s="1"/>
  <c r="M86" i="2"/>
  <c r="G60" i="2"/>
  <c r="L67" i="2"/>
  <c r="I67" i="2"/>
  <c r="G66" i="2"/>
  <c r="M77" i="2"/>
  <c r="M64" i="2"/>
  <c r="O64" i="2" s="1"/>
  <c r="K61" i="2"/>
  <c r="I61" i="2"/>
  <c r="M69" i="2"/>
  <c r="G81" i="2"/>
  <c r="M81" i="2"/>
  <c r="L77" i="2"/>
  <c r="K71" i="2"/>
  <c r="N45" i="2"/>
  <c r="X78" i="2" s="1"/>
  <c r="L65" i="2"/>
  <c r="N65" i="2" s="1"/>
  <c r="G73" i="2"/>
  <c r="F68" i="2"/>
  <c r="N68" i="2" s="1"/>
  <c r="F62" i="2"/>
  <c r="H62" i="2"/>
  <c r="L63" i="2"/>
  <c r="N63" i="2" s="1"/>
  <c r="J70" i="2"/>
  <c r="M59" i="2"/>
  <c r="O59" i="2" s="1"/>
  <c r="I76" i="2"/>
  <c r="M72" i="2"/>
  <c r="I83" i="2"/>
  <c r="O83" i="2" s="1"/>
  <c r="P30" i="2"/>
  <c r="Q30" i="2" s="1"/>
  <c r="I75" i="2"/>
  <c r="P36" i="2"/>
  <c r="Q36" i="2" s="1"/>
  <c r="F85" i="2"/>
  <c r="H74" i="2"/>
  <c r="G74" i="2"/>
  <c r="J74" i="2"/>
  <c r="H79" i="2"/>
  <c r="I58" i="2"/>
  <c r="O58" i="2" s="1"/>
  <c r="I85" i="2"/>
  <c r="O85" i="2" s="1"/>
  <c r="M85" i="2"/>
  <c r="I87" i="2"/>
  <c r="O87" i="2" s="1"/>
  <c r="M87" i="2"/>
  <c r="G83" i="2"/>
  <c r="P51" i="2"/>
  <c r="Q51" i="2" s="1"/>
  <c r="P43" i="2"/>
  <c r="Q43" i="2" s="1"/>
  <c r="P47" i="2"/>
  <c r="Q47" i="2" s="1"/>
  <c r="G79" i="2"/>
  <c r="M65" i="2"/>
  <c r="K65" i="2"/>
  <c r="F73" i="2"/>
  <c r="G68" i="2"/>
  <c r="O68" i="2" s="1"/>
  <c r="I68" i="2"/>
  <c r="I62" i="2"/>
  <c r="J63" i="2"/>
  <c r="K63" i="2"/>
  <c r="L70" i="2"/>
  <c r="H59" i="2"/>
  <c r="L59" i="2"/>
  <c r="N59" i="2" s="1"/>
  <c r="F76" i="2"/>
  <c r="J72" i="2"/>
  <c r="H72" i="2"/>
  <c r="J83" i="2"/>
  <c r="H82" i="2"/>
  <c r="N82" i="2" s="1"/>
  <c r="H86" i="2"/>
  <c r="N86" i="2" s="1"/>
  <c r="K82" i="2"/>
  <c r="I80" i="2"/>
  <c r="G78" i="2"/>
  <c r="K60" i="2"/>
  <c r="G82" i="2"/>
  <c r="P29" i="2"/>
  <c r="Q29" i="2" s="1"/>
  <c r="L82" i="2"/>
  <c r="K79" i="2"/>
  <c r="K74" i="2"/>
  <c r="O74" i="2" s="1"/>
  <c r="L83" i="2"/>
  <c r="P26" i="2"/>
  <c r="Q26" i="2" s="1"/>
  <c r="G84" i="2"/>
  <c r="K84" i="2"/>
  <c r="P50" i="2"/>
  <c r="Q50" i="2" s="1"/>
  <c r="I78" i="2"/>
  <c r="J65" i="2"/>
  <c r="M58" i="2"/>
  <c r="P39" i="2"/>
  <c r="Q39" i="2" s="1"/>
  <c r="K83" i="2"/>
  <c r="M9" i="2"/>
  <c r="L78" i="2"/>
  <c r="G87" i="2"/>
  <c r="H75" i="2"/>
  <c r="G67" i="2"/>
  <c r="O67" i="2" s="1"/>
  <c r="K67" i="2"/>
  <c r="I66" i="2"/>
  <c r="H66" i="2"/>
  <c r="J64" i="2"/>
  <c r="I64" i="2"/>
  <c r="M61" i="2"/>
  <c r="O61" i="2" s="1"/>
  <c r="F61" i="2"/>
  <c r="L69" i="2"/>
  <c r="G69" i="2"/>
  <c r="I81" i="2"/>
  <c r="O81" i="2" s="1"/>
  <c r="L81" i="2"/>
  <c r="J77" i="2"/>
  <c r="N77" i="2" s="1"/>
  <c r="L71" i="2"/>
  <c r="F71" i="2"/>
  <c r="N71" i="2" s="1"/>
  <c r="N28" i="2"/>
  <c r="X61" i="2" s="1"/>
  <c r="AS61" i="2" s="1"/>
  <c r="AT61" i="2" s="1"/>
  <c r="N48" i="2"/>
  <c r="X81" i="2" s="1"/>
  <c r="N36" i="2"/>
  <c r="X69" i="2" s="1"/>
  <c r="AS69" i="2" s="1"/>
  <c r="AT69" i="2" s="1"/>
  <c r="N35" i="2"/>
  <c r="X68" i="2" s="1"/>
  <c r="AS68" i="2" s="1"/>
  <c r="AT68" i="2" s="1"/>
  <c r="N27" i="2"/>
  <c r="X60" i="2" s="1"/>
  <c r="AS60" i="2" s="1"/>
  <c r="AT60" i="2" s="1"/>
  <c r="N50" i="2"/>
  <c r="X83" i="2" s="1"/>
  <c r="H65" i="2"/>
  <c r="G65" i="2"/>
  <c r="L73" i="2"/>
  <c r="M73" i="2"/>
  <c r="M68" i="2"/>
  <c r="H68" i="2"/>
  <c r="L62" i="2"/>
  <c r="N62" i="2" s="1"/>
  <c r="M62" i="2"/>
  <c r="O62" i="2" s="1"/>
  <c r="M63" i="2"/>
  <c r="O63" i="2" s="1"/>
  <c r="H63" i="2"/>
  <c r="G70" i="2"/>
  <c r="H70" i="2"/>
  <c r="I59" i="2"/>
  <c r="G59" i="2"/>
  <c r="L76" i="2"/>
  <c r="J76" i="2"/>
  <c r="N76" i="2" s="1"/>
  <c r="I72" i="2"/>
  <c r="L72" i="2"/>
  <c r="M79" i="2"/>
  <c r="F78" i="2"/>
  <c r="P22" i="2"/>
  <c r="Q22" i="2" s="1"/>
  <c r="L84" i="2"/>
  <c r="I60" i="2"/>
  <c r="L75" i="2"/>
  <c r="M60" i="2"/>
  <c r="O60" i="2" s="1"/>
  <c r="H78" i="2"/>
  <c r="P42" i="2"/>
  <c r="Q42" i="2" s="1"/>
  <c r="G85" i="2"/>
  <c r="P24" i="2"/>
  <c r="Q24" i="2" s="1"/>
  <c r="G58" i="2"/>
  <c r="H84" i="2"/>
  <c r="N84" i="2" s="1"/>
  <c r="P25" i="2"/>
  <c r="Q25" i="2" s="1"/>
  <c r="P41" i="2"/>
  <c r="Q41" i="2" s="1"/>
  <c r="F87" i="2"/>
  <c r="L87" i="2"/>
  <c r="J87" i="2"/>
  <c r="F82" i="2"/>
  <c r="L74" i="2"/>
  <c r="M74" i="2"/>
  <c r="K80" i="2"/>
  <c r="H83" i="2"/>
  <c r="N83" i="2" s="1"/>
  <c r="I79" i="2"/>
  <c r="J80" i="2"/>
  <c r="L80" i="2"/>
  <c r="K75" i="2"/>
  <c r="O75" i="2" s="1"/>
  <c r="K87" i="2"/>
  <c r="H58" i="2"/>
  <c r="J85" i="2"/>
  <c r="P38" i="2"/>
  <c r="Q38" i="2" s="1"/>
  <c r="F75" i="2"/>
  <c r="P40" i="2"/>
  <c r="Q40" i="2" s="1"/>
  <c r="I86" i="2"/>
  <c r="O86" i="2" s="1"/>
  <c r="D127" i="2"/>
  <c r="B2" i="16" s="1"/>
  <c r="C2" i="16" s="1"/>
  <c r="A2" i="17" s="1"/>
  <c r="N23" i="2"/>
  <c r="X56" i="2" s="1"/>
  <c r="AS56" i="2" s="1"/>
  <c r="AT56" i="2" s="1"/>
  <c r="N44" i="2"/>
  <c r="X77" i="2" s="1"/>
  <c r="N25" i="2"/>
  <c r="X58" i="2" s="1"/>
  <c r="AS58" i="2" s="1"/>
  <c r="AT58" i="2" s="1"/>
  <c r="J40" i="2"/>
  <c r="L111" i="2" s="1"/>
  <c r="J35" i="2"/>
  <c r="L106" i="2" s="1"/>
  <c r="N46" i="2"/>
  <c r="X79" i="2" s="1"/>
  <c r="N33" i="2"/>
  <c r="X66" i="2" s="1"/>
  <c r="AS66" i="2" s="1"/>
  <c r="AT66" i="2" s="1"/>
  <c r="J23" i="2"/>
  <c r="K43" i="2"/>
  <c r="M114" i="2" s="1"/>
  <c r="D24" i="18" s="1"/>
  <c r="N26" i="2"/>
  <c r="X59" i="2" s="1"/>
  <c r="AS59" i="2" s="1"/>
  <c r="AU59" i="2" s="1"/>
  <c r="N51" i="2"/>
  <c r="X84" i="2" s="1"/>
  <c r="K42" i="2"/>
  <c r="M113" i="2" s="1"/>
  <c r="C20" i="15" s="1"/>
  <c r="F20" i="15" s="1"/>
  <c r="B20" i="14" s="1"/>
  <c r="K34" i="2"/>
  <c r="M105" i="2" s="1"/>
  <c r="C12" i="15" s="1"/>
  <c r="F12" i="15" s="1"/>
  <c r="B12" i="14" s="1"/>
  <c r="J24" i="2"/>
  <c r="L95" i="2" s="1"/>
  <c r="K51" i="2"/>
  <c r="K36" i="2"/>
  <c r="M107" i="2" s="1"/>
  <c r="C14" i="15" s="1"/>
  <c r="F14" i="15" s="1"/>
  <c r="B14" i="14" s="1"/>
  <c r="K22" i="2"/>
  <c r="K44" i="2"/>
  <c r="M115" i="2" s="1"/>
  <c r="D25" i="18" s="1"/>
  <c r="K31" i="2"/>
  <c r="M102" i="2" s="1"/>
  <c r="D12" i="18" s="1"/>
  <c r="N34" i="2"/>
  <c r="X67" i="2" s="1"/>
  <c r="AS67" i="2" s="1"/>
  <c r="K35" i="2"/>
  <c r="M106" i="2" s="1"/>
  <c r="D16" i="18" s="1"/>
  <c r="N24" i="2"/>
  <c r="X57" i="2" s="1"/>
  <c r="AS57" i="2" s="1"/>
  <c r="AV57" i="2" s="1"/>
  <c r="F50" i="2"/>
  <c r="F25" i="2"/>
  <c r="F40" i="2"/>
  <c r="H40" i="2" s="1"/>
  <c r="K28" i="2"/>
  <c r="M99" i="2" s="1"/>
  <c r="D9" i="18" s="1"/>
  <c r="F51" i="2"/>
  <c r="F31" i="2"/>
  <c r="F28" i="2"/>
  <c r="H28" i="2" s="1"/>
  <c r="F29" i="2"/>
  <c r="F49" i="2"/>
  <c r="F47" i="2"/>
  <c r="F37" i="2"/>
  <c r="F24" i="2"/>
  <c r="H24" i="2" s="1"/>
  <c r="D126" i="2"/>
  <c r="F36" i="2"/>
  <c r="F23" i="2"/>
  <c r="H23" i="2" s="1"/>
  <c r="F26" i="2"/>
  <c r="H26" i="2" s="1"/>
  <c r="F35" i="2"/>
  <c r="I36" i="18"/>
  <c r="D2" i="16"/>
  <c r="B2" i="17" s="1"/>
  <c r="F41" i="2"/>
  <c r="F39" i="2"/>
  <c r="E131" i="2"/>
  <c r="E132" i="2" s="1"/>
  <c r="D1" i="16"/>
  <c r="B1" i="17" s="1"/>
  <c r="I35" i="18"/>
  <c r="B12" i="12"/>
  <c r="D12" i="12" s="1"/>
  <c r="A12" i="13" s="1"/>
  <c r="G48" i="2"/>
  <c r="I48" i="2" s="1"/>
  <c r="N74" i="2" l="1"/>
  <c r="O79" i="2"/>
  <c r="H36" i="18"/>
  <c r="G41" i="2"/>
  <c r="I41" i="2" s="1"/>
  <c r="H41" i="2"/>
  <c r="G29" i="2"/>
  <c r="I29" i="2" s="1"/>
  <c r="H29" i="2"/>
  <c r="G33" i="2"/>
  <c r="I33" i="2" s="1"/>
  <c r="H33" i="2"/>
  <c r="G35" i="2"/>
  <c r="I35" i="2" s="1"/>
  <c r="H35" i="2"/>
  <c r="G31" i="2"/>
  <c r="I31" i="2" s="1"/>
  <c r="H31" i="2"/>
  <c r="G46" i="2"/>
  <c r="I46" i="2" s="1"/>
  <c r="H46" i="2"/>
  <c r="G38" i="2"/>
  <c r="I38" i="2" s="1"/>
  <c r="H38" i="2"/>
  <c r="G44" i="2"/>
  <c r="I44" i="2" s="1"/>
  <c r="H44" i="2"/>
  <c r="G50" i="2"/>
  <c r="I50" i="2" s="1"/>
  <c r="H50" i="2"/>
  <c r="G27" i="2"/>
  <c r="I27" i="2" s="1"/>
  <c r="H27" i="2"/>
  <c r="G36" i="2"/>
  <c r="I36" i="2" s="1"/>
  <c r="H36" i="2"/>
  <c r="G25" i="2"/>
  <c r="I25" i="2" s="1"/>
  <c r="H25" i="2"/>
  <c r="G37" i="2"/>
  <c r="I37" i="2" s="1"/>
  <c r="H37" i="2"/>
  <c r="G34" i="2"/>
  <c r="I34" i="2" s="1"/>
  <c r="H34" i="2"/>
  <c r="G51" i="2"/>
  <c r="I51" i="2" s="1"/>
  <c r="H51" i="2"/>
  <c r="G47" i="2"/>
  <c r="I47" i="2" s="1"/>
  <c r="H47" i="2"/>
  <c r="G39" i="2"/>
  <c r="I39" i="2" s="1"/>
  <c r="H39" i="2"/>
  <c r="G49" i="2"/>
  <c r="I49" i="2" s="1"/>
  <c r="H49" i="2"/>
  <c r="O71" i="2"/>
  <c r="T47" i="2"/>
  <c r="V47" i="2" s="1"/>
  <c r="Z80" i="2" s="1"/>
  <c r="AD80" i="2" s="1"/>
  <c r="U47" i="2"/>
  <c r="W47" i="2" s="1"/>
  <c r="H129" i="2"/>
  <c r="B4" i="5" s="1"/>
  <c r="E4" i="5" s="1"/>
  <c r="A4" i="11" s="1"/>
  <c r="U48" i="2"/>
  <c r="W48" i="2" s="1"/>
  <c r="R51" i="2"/>
  <c r="U32" i="2"/>
  <c r="W65" i="2" s="1"/>
  <c r="AA65" i="2" s="1"/>
  <c r="AE65" i="2" s="1"/>
  <c r="T27" i="2"/>
  <c r="V27" i="2" s="1"/>
  <c r="Z60" i="2" s="1"/>
  <c r="AD60" i="2" s="1"/>
  <c r="N66" i="2"/>
  <c r="G43" i="2"/>
  <c r="I43" i="2" s="1"/>
  <c r="H138" i="2"/>
  <c r="H139" i="2"/>
  <c r="H140" i="2" s="1"/>
  <c r="I136" i="2"/>
  <c r="D29" i="18"/>
  <c r="B13" i="12"/>
  <c r="D13" i="12" s="1"/>
  <c r="A13" i="13" s="1"/>
  <c r="H127" i="2"/>
  <c r="C36" i="18" s="1"/>
  <c r="H126" i="2"/>
  <c r="C35" i="18" s="1"/>
  <c r="U39" i="2"/>
  <c r="W39" i="2" s="1"/>
  <c r="H130" i="2"/>
  <c r="B5" i="5" s="1"/>
  <c r="E5" i="5" s="1"/>
  <c r="A5" i="11" s="1"/>
  <c r="I138" i="2"/>
  <c r="I139" i="2" s="1"/>
  <c r="N80" i="2"/>
  <c r="T44" i="2" s="1"/>
  <c r="V44" i="2" s="1"/>
  <c r="Z77" i="2" s="1"/>
  <c r="AD77" i="2" s="1"/>
  <c r="O78" i="2"/>
  <c r="U42" i="2" s="1"/>
  <c r="W42" i="2" s="1"/>
  <c r="N67" i="2"/>
  <c r="T31" i="2" s="1"/>
  <c r="V31" i="2" s="1"/>
  <c r="Z64" i="2" s="1"/>
  <c r="AD64" i="2" s="1"/>
  <c r="C18" i="15"/>
  <c r="F18" i="15" s="1"/>
  <c r="B18" i="14" s="1"/>
  <c r="H128" i="2"/>
  <c r="B3" i="5" s="1"/>
  <c r="E3" i="5" s="1"/>
  <c r="A3" i="11" s="1"/>
  <c r="U27" i="2"/>
  <c r="W60" i="2" s="1"/>
  <c r="AA60" i="2" s="1"/>
  <c r="AE60" i="2" s="1"/>
  <c r="S41" i="2"/>
  <c r="T32" i="2"/>
  <c r="V32" i="2" s="1"/>
  <c r="Z65" i="2" s="1"/>
  <c r="AD65" i="2" s="1"/>
  <c r="G24" i="2"/>
  <c r="I24" i="2" s="1"/>
  <c r="G45" i="2"/>
  <c r="I45" i="2" s="1"/>
  <c r="C5" i="15"/>
  <c r="F5" i="15" s="1"/>
  <c r="B5" i="14" s="1"/>
  <c r="G32" i="2"/>
  <c r="I32" i="2" s="1"/>
  <c r="G30" i="2"/>
  <c r="I30" i="2" s="1"/>
  <c r="C16" i="15"/>
  <c r="F16" i="15" s="1"/>
  <c r="B16" i="14" s="1"/>
  <c r="AU68" i="2"/>
  <c r="C24" i="15"/>
  <c r="F24" i="15" s="1"/>
  <c r="B24" i="14" s="1"/>
  <c r="O45" i="2"/>
  <c r="D26" i="18"/>
  <c r="AV61" i="2"/>
  <c r="AT64" i="2"/>
  <c r="O30" i="2"/>
  <c r="O70" i="2"/>
  <c r="U34" i="2" s="1"/>
  <c r="W34" i="2" s="1"/>
  <c r="O37" i="2"/>
  <c r="G42" i="2"/>
  <c r="I42" i="2" s="1"/>
  <c r="X32" i="2"/>
  <c r="Y65" i="2" s="1"/>
  <c r="C1" i="15"/>
  <c r="F1" i="15" s="1"/>
  <c r="B1" i="14" s="1"/>
  <c r="O49" i="2"/>
  <c r="S47" i="2"/>
  <c r="C25" i="15"/>
  <c r="F25" i="15" s="1"/>
  <c r="B25" i="14" s="1"/>
  <c r="X31" i="2"/>
  <c r="Y64" i="2" s="1"/>
  <c r="T45" i="2"/>
  <c r="V45" i="2" s="1"/>
  <c r="Z78" i="2" s="1"/>
  <c r="AD78" i="2" s="1"/>
  <c r="T26" i="2"/>
  <c r="V26" i="2" s="1"/>
  <c r="Z59" i="2" s="1"/>
  <c r="AD59" i="2" s="1"/>
  <c r="D20" i="18"/>
  <c r="X38" i="2"/>
  <c r="Y38" i="2" s="1"/>
  <c r="AT38" i="2" s="1"/>
  <c r="AS38" i="2" s="1"/>
  <c r="AV38" i="2" s="1"/>
  <c r="S26" i="2"/>
  <c r="C9" i="15"/>
  <c r="F9" i="15" s="1"/>
  <c r="B9" i="14" s="1"/>
  <c r="D31" i="18"/>
  <c r="T35" i="2"/>
  <c r="V35" i="2" s="1"/>
  <c r="Z68" i="2" s="1"/>
  <c r="AD68" i="2" s="1"/>
  <c r="G22" i="2"/>
  <c r="I22" i="2" s="1"/>
  <c r="D15" i="18"/>
  <c r="S34" i="2"/>
  <c r="U38" i="2"/>
  <c r="W71" i="2" s="1"/>
  <c r="AA71" i="2" s="1"/>
  <c r="AE71" i="2" s="1"/>
  <c r="G40" i="2"/>
  <c r="I40" i="2" s="1"/>
  <c r="T34" i="2"/>
  <c r="V34" i="2" s="1"/>
  <c r="Z67" i="2" s="1"/>
  <c r="AD67" i="2" s="1"/>
  <c r="G28" i="2"/>
  <c r="I28" i="2" s="1"/>
  <c r="C15" i="15"/>
  <c r="F15" i="15" s="1"/>
  <c r="B15" i="14" s="1"/>
  <c r="R46" i="2"/>
  <c r="T37" i="2"/>
  <c r="V37" i="2" s="1"/>
  <c r="Z70" i="2" s="1"/>
  <c r="AD70" i="2" s="1"/>
  <c r="C21" i="15"/>
  <c r="F21" i="15" s="1"/>
  <c r="B21" i="14" s="1"/>
  <c r="T49" i="2"/>
  <c r="V49" i="2" s="1"/>
  <c r="Z82" i="2" s="1"/>
  <c r="AD82" i="2" s="1"/>
  <c r="D11" i="18"/>
  <c r="C27" i="15"/>
  <c r="F27" i="15" s="1"/>
  <c r="B27" i="14" s="1"/>
  <c r="G23" i="2"/>
  <c r="I23" i="2" s="1"/>
  <c r="T38" i="2"/>
  <c r="V38" i="2" s="1"/>
  <c r="U46" i="2"/>
  <c r="W79" i="2" s="1"/>
  <c r="AA79" i="2" s="1"/>
  <c r="AE79" i="2" s="1"/>
  <c r="X35" i="2"/>
  <c r="Y68" i="2" s="1"/>
  <c r="X23" i="2"/>
  <c r="Y56" i="2" s="1"/>
  <c r="O41" i="2"/>
  <c r="X22" i="2"/>
  <c r="Y55" i="2" s="1"/>
  <c r="X39" i="2"/>
  <c r="Y39" i="2" s="1"/>
  <c r="AT39" i="2" s="1"/>
  <c r="AS39" i="2" s="1"/>
  <c r="AU39" i="2" s="1"/>
  <c r="T48" i="2"/>
  <c r="V48" i="2" s="1"/>
  <c r="Z81" i="2" s="1"/>
  <c r="AD81" i="2" s="1"/>
  <c r="T46" i="2"/>
  <c r="V46" i="2" s="1"/>
  <c r="Z79" i="2" s="1"/>
  <c r="AD79" i="2" s="1"/>
  <c r="U49" i="2"/>
  <c r="W82" i="2" s="1"/>
  <c r="AA82" i="2" s="1"/>
  <c r="AE82" i="2" s="1"/>
  <c r="T29" i="2"/>
  <c r="V29" i="2" s="1"/>
  <c r="Z62" i="2" s="1"/>
  <c r="AD62" i="2" s="1"/>
  <c r="S48" i="2"/>
  <c r="R40" i="2"/>
  <c r="U50" i="2"/>
  <c r="W83" i="2" s="1"/>
  <c r="AA83" i="2" s="1"/>
  <c r="AE83" i="2" s="1"/>
  <c r="U23" i="2"/>
  <c r="W23" i="2" s="1"/>
  <c r="T51" i="2"/>
  <c r="V51" i="2" s="1"/>
  <c r="Z84" i="2" s="1"/>
  <c r="AD84" i="2" s="1"/>
  <c r="T36" i="2"/>
  <c r="V36" i="2" s="1"/>
  <c r="Z69" i="2" s="1"/>
  <c r="AD69" i="2" s="1"/>
  <c r="G26" i="2"/>
  <c r="I26" i="2" s="1"/>
  <c r="U25" i="2"/>
  <c r="W58" i="2" s="1"/>
  <c r="AA58" i="2" s="1"/>
  <c r="AE58" i="2" s="1"/>
  <c r="U22" i="2"/>
  <c r="W22" i="2" s="1"/>
  <c r="T33" i="2"/>
  <c r="V33" i="2" s="1"/>
  <c r="Z66" i="2" s="1"/>
  <c r="AD66" i="2" s="1"/>
  <c r="T28" i="2"/>
  <c r="V28" i="2" s="1"/>
  <c r="Z61" i="2" s="1"/>
  <c r="AD61" i="2" s="1"/>
  <c r="T22" i="2"/>
  <c r="V22" i="2" s="1"/>
  <c r="O42" i="2"/>
  <c r="O26" i="2"/>
  <c r="O47" i="2"/>
  <c r="O43" i="2"/>
  <c r="S23" i="2"/>
  <c r="O69" i="2"/>
  <c r="U33" i="2" s="1"/>
  <c r="W66" i="2" s="1"/>
  <c r="AA66" i="2" s="1"/>
  <c r="AE66" i="2" s="1"/>
  <c r="O46" i="2"/>
  <c r="X28" i="2"/>
  <c r="Y61" i="2" s="1"/>
  <c r="C13" i="15"/>
  <c r="F13" i="15" s="1"/>
  <c r="B13" i="14" s="1"/>
  <c r="S35" i="2"/>
  <c r="S46" i="2"/>
  <c r="R30" i="2"/>
  <c r="AU61" i="2"/>
  <c r="O80" i="2"/>
  <c r="U44" i="2" s="1"/>
  <c r="W44" i="2" s="1"/>
  <c r="R28" i="2"/>
  <c r="S44" i="2"/>
  <c r="N78" i="2"/>
  <c r="T42" i="2" s="1"/>
  <c r="V42" i="2" s="1"/>
  <c r="Z75" i="2" s="1"/>
  <c r="AD75" i="2" s="1"/>
  <c r="O76" i="2"/>
  <c r="U40" i="2" s="1"/>
  <c r="W73" i="2" s="1"/>
  <c r="AA73" i="2" s="1"/>
  <c r="AE73" i="2" s="1"/>
  <c r="N75" i="2"/>
  <c r="T39" i="2" s="1"/>
  <c r="V39" i="2" s="1"/>
  <c r="C6" i="15"/>
  <c r="F6" i="15" s="1"/>
  <c r="B6" i="14" s="1"/>
  <c r="C22" i="15"/>
  <c r="F22" i="15" s="1"/>
  <c r="B22" i="14" s="1"/>
  <c r="R26" i="2"/>
  <c r="C4" i="15"/>
  <c r="F4" i="15" s="1"/>
  <c r="B4" i="14" s="1"/>
  <c r="C2" i="15"/>
  <c r="F2" i="15" s="1"/>
  <c r="B2" i="14" s="1"/>
  <c r="D22" i="18"/>
  <c r="D17" i="18"/>
  <c r="D23" i="18"/>
  <c r="S36" i="2"/>
  <c r="D14" i="18"/>
  <c r="D13" i="18"/>
  <c r="C7" i="15"/>
  <c r="F7" i="15" s="1"/>
  <c r="B7" i="14" s="1"/>
  <c r="R33" i="2"/>
  <c r="M122" i="2"/>
  <c r="R32" i="2"/>
  <c r="R45" i="2"/>
  <c r="S33" i="2"/>
  <c r="R49" i="2"/>
  <c r="R44" i="2"/>
  <c r="T23" i="2"/>
  <c r="V23" i="2" s="1"/>
  <c r="Z56" i="2" s="1"/>
  <c r="AD56" i="2" s="1"/>
  <c r="X42" i="2"/>
  <c r="Y75" i="2" s="1"/>
  <c r="AT75" i="2" s="1"/>
  <c r="AS75" i="2" s="1"/>
  <c r="X47" i="2"/>
  <c r="R48" i="2"/>
  <c r="X43" i="2"/>
  <c r="Y43" i="2" s="1"/>
  <c r="AT43" i="2" s="1"/>
  <c r="AS43" i="2" s="1"/>
  <c r="AV43" i="2" s="1"/>
  <c r="X49" i="2"/>
  <c r="Y49" i="2" s="1"/>
  <c r="AT49" i="2" s="1"/>
  <c r="AS49" i="2" s="1"/>
  <c r="AU49" i="2" s="1"/>
  <c r="X26" i="2"/>
  <c r="Y59" i="2" s="1"/>
  <c r="R23" i="2"/>
  <c r="X44" i="2"/>
  <c r="Y77" i="2" s="1"/>
  <c r="AT77" i="2" s="1"/>
  <c r="AS77" i="2" s="1"/>
  <c r="S28" i="2"/>
  <c r="R34" i="2"/>
  <c r="O32" i="2"/>
  <c r="X37" i="2"/>
  <c r="Y70" i="2" s="1"/>
  <c r="AT70" i="2" s="1"/>
  <c r="AS70" i="2" s="1"/>
  <c r="O28" i="2"/>
  <c r="O24" i="2"/>
  <c r="O27" i="2"/>
  <c r="O40" i="2"/>
  <c r="U28" i="2"/>
  <c r="W61" i="2" s="1"/>
  <c r="AA61" i="2" s="1"/>
  <c r="AE61" i="2" s="1"/>
  <c r="T30" i="2"/>
  <c r="V30" i="2" s="1"/>
  <c r="Z63" i="2" s="1"/>
  <c r="AD63" i="2" s="1"/>
  <c r="AV65" i="2"/>
  <c r="S25" i="2"/>
  <c r="U26" i="2"/>
  <c r="W26" i="2" s="1"/>
  <c r="T41" i="2"/>
  <c r="V41" i="2" s="1"/>
  <c r="Z74" i="2" s="1"/>
  <c r="AD74" i="2" s="1"/>
  <c r="U45" i="2"/>
  <c r="W45" i="2" s="1"/>
  <c r="S39" i="2"/>
  <c r="S29" i="2"/>
  <c r="T50" i="2"/>
  <c r="V50" i="2" s="1"/>
  <c r="Z83" i="2" s="1"/>
  <c r="AD83" i="2" s="1"/>
  <c r="S30" i="2"/>
  <c r="O66" i="2"/>
  <c r="U30" i="2" s="1"/>
  <c r="W63" i="2" s="1"/>
  <c r="AA63" i="2" s="1"/>
  <c r="AE63" i="2" s="1"/>
  <c r="S45" i="2"/>
  <c r="T25" i="2"/>
  <c r="V25" i="2" s="1"/>
  <c r="Z58" i="2" s="1"/>
  <c r="AD58" i="2" s="1"/>
  <c r="S32" i="2"/>
  <c r="U41" i="2"/>
  <c r="W41" i="2" s="1"/>
  <c r="R31" i="2"/>
  <c r="AV68" i="2"/>
  <c r="N79" i="2"/>
  <c r="T43" i="2" s="1"/>
  <c r="V43" i="2" s="1"/>
  <c r="T24" i="2"/>
  <c r="V24" i="2" s="1"/>
  <c r="Z57" i="2" s="1"/>
  <c r="AD57" i="2" s="1"/>
  <c r="U37" i="2"/>
  <c r="W37" i="2" s="1"/>
  <c r="S49" i="2"/>
  <c r="O35" i="2"/>
  <c r="O48" i="2"/>
  <c r="X30" i="2"/>
  <c r="Y63" i="2" s="1"/>
  <c r="R35" i="2"/>
  <c r="O23" i="2"/>
  <c r="R47" i="2"/>
  <c r="R29" i="2"/>
  <c r="X41" i="2"/>
  <c r="Y74" i="2" s="1"/>
  <c r="AT74" i="2" s="1"/>
  <c r="AS74" i="2" s="1"/>
  <c r="O38" i="2"/>
  <c r="O22" i="2"/>
  <c r="R39" i="2"/>
  <c r="X29" i="2"/>
  <c r="Y62" i="2" s="1"/>
  <c r="O31" i="2"/>
  <c r="AV62" i="2"/>
  <c r="AU64" i="2"/>
  <c r="AU62" i="2"/>
  <c r="O65" i="2"/>
  <c r="U29" i="2" s="1"/>
  <c r="W29" i="2" s="1"/>
  <c r="S50" i="2"/>
  <c r="L94" i="2"/>
  <c r="L122" i="2" s="1"/>
  <c r="X45" i="2"/>
  <c r="Y78" i="2" s="1"/>
  <c r="AT78" i="2" s="1"/>
  <c r="AS78" i="2" s="1"/>
  <c r="O29" i="2"/>
  <c r="O39" i="2"/>
  <c r="AU65" i="2"/>
  <c r="T40" i="2"/>
  <c r="V40" i="2" s="1"/>
  <c r="Z73" i="2" s="1"/>
  <c r="AD73" i="2" s="1"/>
  <c r="R42" i="2"/>
  <c r="U51" i="2"/>
  <c r="W51" i="2" s="1"/>
  <c r="S42" i="2"/>
  <c r="X25" i="2"/>
  <c r="Y58" i="2" s="1"/>
  <c r="O25" i="2"/>
  <c r="X48" i="2"/>
  <c r="Y48" i="2" s="1"/>
  <c r="AT48" i="2" s="1"/>
  <c r="AS48" i="2" s="1"/>
  <c r="AV48" i="2" s="1"/>
  <c r="X46" i="2"/>
  <c r="Y46" i="2" s="1"/>
  <c r="AT46" i="2" s="1"/>
  <c r="AS46" i="2" s="1"/>
  <c r="AV46" i="2" s="1"/>
  <c r="O44" i="2"/>
  <c r="AU60" i="2"/>
  <c r="S40" i="2"/>
  <c r="C3" i="15"/>
  <c r="F3" i="15" s="1"/>
  <c r="B3" i="14" s="1"/>
  <c r="R27" i="2"/>
  <c r="R37" i="2"/>
  <c r="AU63" i="2"/>
  <c r="S37" i="2"/>
  <c r="R25" i="2"/>
  <c r="S31" i="2"/>
  <c r="S38" i="2"/>
  <c r="S51" i="2"/>
  <c r="S22" i="2"/>
  <c r="X50" i="2"/>
  <c r="Y50" i="2" s="1"/>
  <c r="AT50" i="2" s="1"/>
  <c r="AS50" i="2" s="1"/>
  <c r="AU50" i="2" s="1"/>
  <c r="AV63" i="2"/>
  <c r="X34" i="2"/>
  <c r="Y67" i="2" s="1"/>
  <c r="S27" i="2"/>
  <c r="X24" i="2"/>
  <c r="Y57" i="2" s="1"/>
  <c r="X27" i="2"/>
  <c r="Y60" i="2" s="1"/>
  <c r="X40" i="2"/>
  <c r="Y73" i="2" s="1"/>
  <c r="AT73" i="2" s="1"/>
  <c r="AS73" i="2" s="1"/>
  <c r="U43" i="2"/>
  <c r="W76" i="2" s="1"/>
  <c r="AA76" i="2" s="1"/>
  <c r="AE76" i="2" s="1"/>
  <c r="S43" i="2"/>
  <c r="U35" i="2"/>
  <c r="W35" i="2" s="1"/>
  <c r="U36" i="2"/>
  <c r="W36" i="2" s="1"/>
  <c r="X51" i="2"/>
  <c r="Y51" i="2" s="1"/>
  <c r="O33" i="2"/>
  <c r="R50" i="2"/>
  <c r="AV56" i="2"/>
  <c r="AV69" i="2"/>
  <c r="AU66" i="2"/>
  <c r="R38" i="2"/>
  <c r="AT59" i="2"/>
  <c r="AU57" i="2"/>
  <c r="R43" i="2"/>
  <c r="O36" i="2"/>
  <c r="O34" i="2"/>
  <c r="R41" i="2"/>
  <c r="R24" i="2"/>
  <c r="R22" i="2"/>
  <c r="S24" i="2"/>
  <c r="U24" i="2"/>
  <c r="W57" i="2" s="1"/>
  <c r="AA57" i="2" s="1"/>
  <c r="AE57" i="2" s="1"/>
  <c r="U31" i="2"/>
  <c r="W64" i="2" s="1"/>
  <c r="AA64" i="2" s="1"/>
  <c r="AE64" i="2" s="1"/>
  <c r="AU69" i="2"/>
  <c r="O51" i="2"/>
  <c r="X33" i="2"/>
  <c r="Y66" i="2" s="1"/>
  <c r="R36" i="2"/>
  <c r="X36" i="2"/>
  <c r="Y69" i="2" s="1"/>
  <c r="O50" i="2"/>
  <c r="AV66" i="2"/>
  <c r="AV59" i="2"/>
  <c r="AV58" i="2"/>
  <c r="AV60" i="2"/>
  <c r="AT57" i="2"/>
  <c r="AU56" i="2"/>
  <c r="AU58" i="2"/>
  <c r="D131" i="2"/>
  <c r="D132" i="2" s="1"/>
  <c r="B1" i="16"/>
  <c r="C1" i="16" s="1"/>
  <c r="A1" i="17" s="1"/>
  <c r="H35" i="18"/>
  <c r="AT67" i="2"/>
  <c r="AV67" i="2"/>
  <c r="AU67" i="2"/>
  <c r="C38" i="18"/>
  <c r="B6" i="5"/>
  <c r="E6" i="5" s="1"/>
  <c r="A6" i="11" s="1"/>
  <c r="C40" i="18"/>
  <c r="C17" i="18"/>
  <c r="B14" i="15"/>
  <c r="E14" i="15" s="1"/>
  <c r="A14" i="14" s="1"/>
  <c r="C11" i="18"/>
  <c r="B8" i="15"/>
  <c r="E8" i="15" s="1"/>
  <c r="A8" i="14" s="1"/>
  <c r="C8" i="18"/>
  <c r="B5" i="15"/>
  <c r="E5" i="15" s="1"/>
  <c r="A5" i="14" s="1"/>
  <c r="C20" i="18"/>
  <c r="B17" i="15"/>
  <c r="E17" i="15" s="1"/>
  <c r="A17" i="14" s="1"/>
  <c r="C9" i="18"/>
  <c r="B6" i="15"/>
  <c r="E6" i="15" s="1"/>
  <c r="A6" i="14" s="1"/>
  <c r="C24" i="18"/>
  <c r="B21" i="15"/>
  <c r="E21" i="15" s="1"/>
  <c r="A21" i="14" s="1"/>
  <c r="C28" i="18"/>
  <c r="B25" i="15"/>
  <c r="E25" i="15" s="1"/>
  <c r="A25" i="14" s="1"/>
  <c r="C25" i="18"/>
  <c r="B22" i="15"/>
  <c r="E22" i="15" s="1"/>
  <c r="A22" i="14" s="1"/>
  <c r="C19" i="18"/>
  <c r="B16" i="15"/>
  <c r="E16" i="15" s="1"/>
  <c r="A16" i="14" s="1"/>
  <c r="B4" i="15"/>
  <c r="E4" i="15" s="1"/>
  <c r="A4" i="14" s="1"/>
  <c r="C7" i="18"/>
  <c r="B26" i="15"/>
  <c r="E26" i="15" s="1"/>
  <c r="A26" i="14" s="1"/>
  <c r="C29" i="18"/>
  <c r="B3" i="15"/>
  <c r="E3" i="15" s="1"/>
  <c r="A3" i="14" s="1"/>
  <c r="C6" i="18"/>
  <c r="C5" i="18"/>
  <c r="B2" i="15"/>
  <c r="E2" i="15" s="1"/>
  <c r="A2" i="14" s="1"/>
  <c r="B13" i="15"/>
  <c r="E13" i="15" s="1"/>
  <c r="A13" i="14" s="1"/>
  <c r="C16" i="18"/>
  <c r="C15" i="18"/>
  <c r="B12" i="15"/>
  <c r="E12" i="15" s="1"/>
  <c r="A12" i="14" s="1"/>
  <c r="B7" i="15"/>
  <c r="E7" i="15" s="1"/>
  <c r="A7" i="14" s="1"/>
  <c r="C10" i="18"/>
  <c r="B9" i="15"/>
  <c r="E9" i="15" s="1"/>
  <c r="A9" i="14" s="1"/>
  <c r="C12" i="18"/>
  <c r="C31" i="18"/>
  <c r="B28" i="15"/>
  <c r="E28" i="15" s="1"/>
  <c r="A28" i="14" s="1"/>
  <c r="C14" i="18"/>
  <c r="B11" i="15"/>
  <c r="E11" i="15" s="1"/>
  <c r="A11" i="14" s="1"/>
  <c r="C23" i="18"/>
  <c r="B20" i="15"/>
  <c r="E20" i="15" s="1"/>
  <c r="A20" i="14" s="1"/>
  <c r="B23" i="15"/>
  <c r="E23" i="15" s="1"/>
  <c r="A23" i="14" s="1"/>
  <c r="C26" i="18"/>
  <c r="B24" i="15"/>
  <c r="E24" i="15" s="1"/>
  <c r="A24" i="14" s="1"/>
  <c r="C27" i="18"/>
  <c r="C22" i="18"/>
  <c r="B19" i="15"/>
  <c r="E19" i="15" s="1"/>
  <c r="A19" i="14" s="1"/>
  <c r="B10" i="15"/>
  <c r="E10" i="15" s="1"/>
  <c r="A10" i="14" s="1"/>
  <c r="C13" i="18"/>
  <c r="B18" i="15"/>
  <c r="E18" i="15" s="1"/>
  <c r="A18" i="14" s="1"/>
  <c r="C21" i="18"/>
  <c r="B27" i="15"/>
  <c r="E27" i="15" s="1"/>
  <c r="A27" i="14" s="1"/>
  <c r="C30" i="18"/>
  <c r="C18" i="18"/>
  <c r="B15" i="15"/>
  <c r="E15" i="15" s="1"/>
  <c r="A15" i="14" s="1"/>
  <c r="Z38" i="2" l="1"/>
  <c r="AD38" i="2" s="1"/>
  <c r="W81" i="2"/>
  <c r="AA81" i="2" s="1"/>
  <c r="AE81" i="2" s="1"/>
  <c r="W32" i="2"/>
  <c r="AA32" i="2" s="1"/>
  <c r="AE32" i="2" s="1"/>
  <c r="W80" i="2"/>
  <c r="AA80" i="2" s="1"/>
  <c r="AE80" i="2" s="1"/>
  <c r="Z47" i="2"/>
  <c r="AD47" i="2" s="1"/>
  <c r="AA42" i="2"/>
  <c r="AE42" i="2" s="1"/>
  <c r="W27" i="2"/>
  <c r="AA27" i="2" s="1"/>
  <c r="AE27" i="2" s="1"/>
  <c r="W72" i="2"/>
  <c r="AA72" i="2" s="1"/>
  <c r="AE72" i="2" s="1"/>
  <c r="B1" i="5"/>
  <c r="E1" i="5" s="1"/>
  <c r="A1" i="11" s="1"/>
  <c r="B2" i="5"/>
  <c r="E2" i="5" s="1"/>
  <c r="A2" i="11" s="1"/>
  <c r="C39" i="18"/>
  <c r="C37" i="18"/>
  <c r="W30" i="2"/>
  <c r="AA30" i="2" s="1"/>
  <c r="AE30" i="2" s="1"/>
  <c r="AS26" i="2"/>
  <c r="AV26" i="2" s="1"/>
  <c r="Y71" i="2"/>
  <c r="AT71" i="2" s="1"/>
  <c r="AS71" i="2" s="1"/>
  <c r="AU71" i="2" s="1"/>
  <c r="AA47" i="2"/>
  <c r="AE47" i="2" s="1"/>
  <c r="Y80" i="2"/>
  <c r="AT80" i="2" s="1"/>
  <c r="AS80" i="2" s="1"/>
  <c r="AU80" i="2" s="1"/>
  <c r="Y22" i="2"/>
  <c r="Y26" i="2"/>
  <c r="W28" i="2"/>
  <c r="AA28" i="2" s="1"/>
  <c r="AE28" i="2" s="1"/>
  <c r="AS23" i="2"/>
  <c r="AT23" i="2" s="1"/>
  <c r="Y47" i="2"/>
  <c r="AT47" i="2" s="1"/>
  <c r="AS47" i="2" s="1"/>
  <c r="AU47" i="2" s="1"/>
  <c r="AS29" i="2"/>
  <c r="AV29" i="2" s="1"/>
  <c r="Y30" i="2"/>
  <c r="W49" i="2"/>
  <c r="AA49" i="2" s="1"/>
  <c r="AE49" i="2" s="1"/>
  <c r="W46" i="2"/>
  <c r="AA46" i="2" s="1"/>
  <c r="AE46" i="2" s="1"/>
  <c r="Y44" i="2"/>
  <c r="AT44" i="2" s="1"/>
  <c r="AS44" i="2" s="1"/>
  <c r="AV44" i="2" s="1"/>
  <c r="AS36" i="2"/>
  <c r="AU36" i="2" s="1"/>
  <c r="Z35" i="2"/>
  <c r="AD35" i="2" s="1"/>
  <c r="W33" i="2"/>
  <c r="AA33" i="2" s="1"/>
  <c r="AE33" i="2" s="1"/>
  <c r="AS35" i="2"/>
  <c r="AU35" i="2" s="1"/>
  <c r="Z29" i="2"/>
  <c r="AD29" i="2" s="1"/>
  <c r="W40" i="2"/>
  <c r="AA40" i="2" s="1"/>
  <c r="AE40" i="2" s="1"/>
  <c r="Y35" i="2"/>
  <c r="Y45" i="2"/>
  <c r="AT45" i="2" s="1"/>
  <c r="AS45" i="2" s="1"/>
  <c r="AV45" i="2" s="1"/>
  <c r="Y72" i="2"/>
  <c r="AT72" i="2" s="1"/>
  <c r="AS72" i="2" s="1"/>
  <c r="AV72" i="2" s="1"/>
  <c r="Z26" i="2"/>
  <c r="AD26" i="2" s="1"/>
  <c r="AA39" i="2"/>
  <c r="AE39" i="2" s="1"/>
  <c r="AA35" i="2"/>
  <c r="AE35" i="2" s="1"/>
  <c r="W38" i="2"/>
  <c r="AA38" i="2" s="1"/>
  <c r="AE38" i="2" s="1"/>
  <c r="Y76" i="2"/>
  <c r="AT76" i="2" s="1"/>
  <c r="AS76" i="2" s="1"/>
  <c r="AV76" i="2" s="1"/>
  <c r="W74" i="2"/>
  <c r="AA74" i="2" s="1"/>
  <c r="AE74" i="2" s="1"/>
  <c r="AS34" i="2"/>
  <c r="AU34" i="2" s="1"/>
  <c r="Y34" i="2"/>
  <c r="Z34" i="2"/>
  <c r="AD34" i="2" s="1"/>
  <c r="W69" i="2"/>
  <c r="AA69" i="2" s="1"/>
  <c r="AE69" i="2" s="1"/>
  <c r="Y41" i="2"/>
  <c r="AT41" i="2" s="1"/>
  <c r="AS41" i="2" s="1"/>
  <c r="AU41" i="2" s="1"/>
  <c r="Z43" i="2"/>
  <c r="AD43" i="2" s="1"/>
  <c r="AS31" i="2"/>
  <c r="AU31" i="2" s="1"/>
  <c r="Z42" i="2"/>
  <c r="AD42" i="2" s="1"/>
  <c r="AS32" i="2"/>
  <c r="AU32" i="2" s="1"/>
  <c r="Y28" i="2"/>
  <c r="Z28" i="2"/>
  <c r="AD28" i="2" s="1"/>
  <c r="Z27" i="2"/>
  <c r="AD27" i="2" s="1"/>
  <c r="W78" i="2"/>
  <c r="AA78" i="2" s="1"/>
  <c r="AE78" i="2" s="1"/>
  <c r="Y29" i="2"/>
  <c r="AS28" i="2"/>
  <c r="AT28" i="2" s="1"/>
  <c r="Z41" i="2"/>
  <c r="AD41" i="2" s="1"/>
  <c r="Y82" i="2"/>
  <c r="AT82" i="2" s="1"/>
  <c r="AS82" i="2" s="1"/>
  <c r="AV82" i="2" s="1"/>
  <c r="Y32" i="2"/>
  <c r="Y36" i="2"/>
  <c r="Z45" i="2"/>
  <c r="AD45" i="2" s="1"/>
  <c r="Y31" i="2"/>
  <c r="Z32" i="2"/>
  <c r="AD32" i="2" s="1"/>
  <c r="W77" i="2"/>
  <c r="AA77" i="2" s="1"/>
  <c r="AE77" i="2" s="1"/>
  <c r="AS25" i="2"/>
  <c r="AU25" i="2" s="1"/>
  <c r="W84" i="2"/>
  <c r="AA84" i="2" s="1"/>
  <c r="AE84" i="2" s="1"/>
  <c r="AO73" i="2" s="1"/>
  <c r="H111" i="2" s="1"/>
  <c r="Y42" i="2"/>
  <c r="AT42" i="2" s="1"/>
  <c r="AS42" i="2" s="1"/>
  <c r="AV42" i="2" s="1"/>
  <c r="Z49" i="2"/>
  <c r="AD49" i="2" s="1"/>
  <c r="W75" i="2"/>
  <c r="AA75" i="2" s="1"/>
  <c r="AE75" i="2" s="1"/>
  <c r="Y37" i="2"/>
  <c r="AT37" i="2" s="1"/>
  <c r="AS37" i="2" s="1"/>
  <c r="AU37" i="2" s="1"/>
  <c r="W56" i="2"/>
  <c r="AA56" i="2" s="1"/>
  <c r="AE56" i="2" s="1"/>
  <c r="Z22" i="2"/>
  <c r="AD22" i="2" s="1"/>
  <c r="AF66" i="2" s="1"/>
  <c r="Y23" i="2"/>
  <c r="C4" i="18"/>
  <c r="Z25" i="2"/>
  <c r="AD25" i="2" s="1"/>
  <c r="Z23" i="2"/>
  <c r="AD23" i="2" s="1"/>
  <c r="W25" i="2"/>
  <c r="AA25" i="2" s="1"/>
  <c r="AE25" i="2" s="1"/>
  <c r="W50" i="2"/>
  <c r="AA50" i="2" s="1"/>
  <c r="AE50" i="2" s="1"/>
  <c r="W59" i="2"/>
  <c r="AA59" i="2" s="1"/>
  <c r="AE59" i="2" s="1"/>
  <c r="Y27" i="2"/>
  <c r="AA22" i="2"/>
  <c r="AE22" i="2" s="1"/>
  <c r="AG58" i="2" s="1"/>
  <c r="AU38" i="2"/>
  <c r="Y33" i="2"/>
  <c r="AA23" i="2"/>
  <c r="AE23" i="2" s="1"/>
  <c r="Z44" i="2"/>
  <c r="AD44" i="2" s="1"/>
  <c r="Z40" i="2"/>
  <c r="AD40" i="2" s="1"/>
  <c r="Z55" i="2"/>
  <c r="AD55" i="2" s="1"/>
  <c r="AA36" i="2"/>
  <c r="AE36" i="2" s="1"/>
  <c r="Z50" i="2"/>
  <c r="AD50" i="2" s="1"/>
  <c r="Z71" i="2"/>
  <c r="AD71" i="2" s="1"/>
  <c r="Y24" i="2"/>
  <c r="Z46" i="2"/>
  <c r="AD46" i="2" s="1"/>
  <c r="AS30" i="2"/>
  <c r="AU30" i="2" s="1"/>
  <c r="W70" i="2"/>
  <c r="AA70" i="2" s="1"/>
  <c r="AE70" i="2" s="1"/>
  <c r="W55" i="2"/>
  <c r="AA55" i="2" s="1"/>
  <c r="AE55" i="2" s="1"/>
  <c r="Y83" i="2"/>
  <c r="AT83" i="2" s="1"/>
  <c r="AS83" i="2" s="1"/>
  <c r="AV83" i="2" s="1"/>
  <c r="AS24" i="2"/>
  <c r="AU24" i="2" s="1"/>
  <c r="W31" i="2"/>
  <c r="AA31" i="2" s="1"/>
  <c r="AE31" i="2" s="1"/>
  <c r="Y40" i="2"/>
  <c r="AT40" i="2" s="1"/>
  <c r="AS40" i="2" s="1"/>
  <c r="AV40" i="2" s="1"/>
  <c r="AA29" i="2"/>
  <c r="AE29" i="2" s="1"/>
  <c r="AA26" i="2"/>
  <c r="AE26" i="2" s="1"/>
  <c r="Z72" i="2"/>
  <c r="AD72" i="2" s="1"/>
  <c r="Z39" i="2"/>
  <c r="AD39" i="2" s="1"/>
  <c r="Z24" i="2"/>
  <c r="AD24" i="2" s="1"/>
  <c r="W43" i="2"/>
  <c r="AA43" i="2" s="1"/>
  <c r="AE43" i="2" s="1"/>
  <c r="Z30" i="2"/>
  <c r="AD30" i="2" s="1"/>
  <c r="W67" i="2"/>
  <c r="AA67" i="2" s="1"/>
  <c r="AE67" i="2" s="1"/>
  <c r="W62" i="2"/>
  <c r="AA62" i="2" s="1"/>
  <c r="AE62" i="2" s="1"/>
  <c r="W68" i="2"/>
  <c r="AA68" i="2" s="1"/>
  <c r="AE68" i="2" s="1"/>
  <c r="Z31" i="2"/>
  <c r="AD31" i="2" s="1"/>
  <c r="AA41" i="2"/>
  <c r="AE41" i="2" s="1"/>
  <c r="AA44" i="2"/>
  <c r="AE44" i="2" s="1"/>
  <c r="AA45" i="2"/>
  <c r="AE45" i="2" s="1"/>
  <c r="Z76" i="2"/>
  <c r="AD76" i="2" s="1"/>
  <c r="AA34" i="2"/>
  <c r="AE34" i="2" s="1"/>
  <c r="Z33" i="2"/>
  <c r="AD33" i="2" s="1"/>
  <c r="AS27" i="2"/>
  <c r="AU27" i="2" s="1"/>
  <c r="B1" i="15"/>
  <c r="E1" i="15" s="1"/>
  <c r="A1" i="14" s="1"/>
  <c r="Z48" i="2"/>
  <c r="AD48" i="2" s="1"/>
  <c r="Y25" i="2"/>
  <c r="Z51" i="2"/>
  <c r="AD51" i="2" s="1"/>
  <c r="AS33" i="2"/>
  <c r="AU33" i="2" s="1"/>
  <c r="Z37" i="2"/>
  <c r="AD37" i="2" s="1"/>
  <c r="AA37" i="2"/>
  <c r="AE37" i="2" s="1"/>
  <c r="AA48" i="2"/>
  <c r="AE48" i="2" s="1"/>
  <c r="Y84" i="2"/>
  <c r="W24" i="2"/>
  <c r="AA24" i="2" s="1"/>
  <c r="AE24" i="2" s="1"/>
  <c r="AV50" i="2"/>
  <c r="AA51" i="2"/>
  <c r="AE51" i="2" s="1"/>
  <c r="Y79" i="2"/>
  <c r="AT79" i="2" s="1"/>
  <c r="AS79" i="2" s="1"/>
  <c r="AV79" i="2" s="1"/>
  <c r="Y81" i="2"/>
  <c r="AT81" i="2" s="1"/>
  <c r="AS81" i="2" s="1"/>
  <c r="AU81" i="2" s="1"/>
  <c r="Z36" i="2"/>
  <c r="AU43" i="2"/>
  <c r="AU46" i="2"/>
  <c r="AV49" i="2"/>
  <c r="AU48" i="2"/>
  <c r="AV39" i="2"/>
  <c r="AV74" i="2"/>
  <c r="AU74" i="2"/>
  <c r="AV73" i="2"/>
  <c r="AU73" i="2"/>
  <c r="AU75" i="2"/>
  <c r="AV75" i="2"/>
  <c r="AV78" i="2"/>
  <c r="AU78" i="2"/>
  <c r="AV77" i="2"/>
  <c r="AU77" i="2"/>
  <c r="AU70" i="2"/>
  <c r="AV70" i="2"/>
  <c r="AU26" i="2" l="1"/>
  <c r="AV80" i="2"/>
  <c r="AT26" i="2"/>
  <c r="AO66" i="2"/>
  <c r="H104" i="2" s="1"/>
  <c r="H58" i="18"/>
  <c r="J29" i="4" s="1"/>
  <c r="H59" i="18"/>
  <c r="J30" i="4" s="1"/>
  <c r="AF31" i="2"/>
  <c r="AF30" i="2"/>
  <c r="AG62" i="2"/>
  <c r="AG29" i="2"/>
  <c r="AU23" i="2"/>
  <c r="AV71" i="2"/>
  <c r="AV47" i="2"/>
  <c r="AT36" i="2"/>
  <c r="AO70" i="2"/>
  <c r="H108" i="2" s="1"/>
  <c r="AO71" i="2"/>
  <c r="H109" i="2" s="1"/>
  <c r="AT34" i="2"/>
  <c r="AV23" i="2"/>
  <c r="AU29" i="2"/>
  <c r="AU44" i="2"/>
  <c r="AT32" i="2"/>
  <c r="AV36" i="2"/>
  <c r="AU72" i="2"/>
  <c r="AF23" i="2"/>
  <c r="AU76" i="2"/>
  <c r="AG25" i="2"/>
  <c r="AT29" i="2"/>
  <c r="AT31" i="2"/>
  <c r="AU45" i="2"/>
  <c r="AT35" i="2"/>
  <c r="AT24" i="2"/>
  <c r="AV34" i="2"/>
  <c r="AV32" i="2"/>
  <c r="AV35" i="2"/>
  <c r="AV41" i="2"/>
  <c r="AV25" i="2"/>
  <c r="AU82" i="2"/>
  <c r="AT25" i="2"/>
  <c r="AG33" i="2"/>
  <c r="AG68" i="2"/>
  <c r="AG74" i="2"/>
  <c r="AT30" i="2"/>
  <c r="AU28" i="2"/>
  <c r="AF29" i="2"/>
  <c r="AF34" i="2"/>
  <c r="AP64" i="2"/>
  <c r="I102" i="2" s="1"/>
  <c r="AF28" i="2"/>
  <c r="AV28" i="2"/>
  <c r="AV31" i="2"/>
  <c r="AF69" i="2"/>
  <c r="AF57" i="2"/>
  <c r="AF68" i="2"/>
  <c r="AF35" i="2"/>
  <c r="AF58" i="2"/>
  <c r="AH58" i="2" s="1"/>
  <c r="AI58" i="2" s="1"/>
  <c r="AJ58" i="2" s="1"/>
  <c r="AK58" i="2" s="1"/>
  <c r="AL58" i="2" s="1"/>
  <c r="AM58" i="2" s="1"/>
  <c r="AQ58" i="2" s="1"/>
  <c r="AF59" i="2"/>
  <c r="AO82" i="2"/>
  <c r="H120" i="2" s="1"/>
  <c r="AO78" i="2"/>
  <c r="H116" i="2" s="1"/>
  <c r="AG64" i="2"/>
  <c r="AG66" i="2"/>
  <c r="AH66" i="2" s="1"/>
  <c r="AI66" i="2" s="1"/>
  <c r="AJ66" i="2" s="1"/>
  <c r="AK66" i="2" s="1"/>
  <c r="AL66" i="2" s="1"/>
  <c r="AM66" i="2" s="1"/>
  <c r="AQ66" i="2" s="1"/>
  <c r="AO77" i="2"/>
  <c r="H115" i="2" s="1"/>
  <c r="AG32" i="2"/>
  <c r="AP60" i="2"/>
  <c r="I98" i="2" s="1"/>
  <c r="AG30" i="2"/>
  <c r="AV33" i="2"/>
  <c r="AF65" i="2"/>
  <c r="AF61" i="2"/>
  <c r="AF56" i="2"/>
  <c r="AF64" i="2"/>
  <c r="AP58" i="2"/>
  <c r="I96" i="2" s="1"/>
  <c r="AU42" i="2"/>
  <c r="AP61" i="2"/>
  <c r="I99" i="2" s="1"/>
  <c r="AO30" i="2"/>
  <c r="D101" i="2" s="1"/>
  <c r="AF26" i="2"/>
  <c r="AF67" i="2"/>
  <c r="AO32" i="2"/>
  <c r="D103" i="2" s="1"/>
  <c r="AO81" i="2"/>
  <c r="H119" i="2" s="1"/>
  <c r="AO79" i="2"/>
  <c r="H117" i="2" s="1"/>
  <c r="AG57" i="2"/>
  <c r="AG63" i="2"/>
  <c r="AG61" i="2"/>
  <c r="AP66" i="2"/>
  <c r="I104" i="2" s="1"/>
  <c r="AV37" i="2"/>
  <c r="AO80" i="2"/>
  <c r="H118" i="2" s="1"/>
  <c r="AO74" i="2"/>
  <c r="H112" i="2" s="1"/>
  <c r="AO83" i="2"/>
  <c r="H121" i="2" s="1"/>
  <c r="AO75" i="2"/>
  <c r="H113" i="2" s="1"/>
  <c r="AV30" i="2"/>
  <c r="AV24" i="2"/>
  <c r="AG35" i="2"/>
  <c r="AG27" i="2"/>
  <c r="AG56" i="2"/>
  <c r="AH56" i="2" s="1"/>
  <c r="AI56" i="2" s="1"/>
  <c r="AJ56" i="2" s="1"/>
  <c r="AK56" i="2" s="1"/>
  <c r="AL56" i="2" s="1"/>
  <c r="AM56" i="2" s="1"/>
  <c r="AQ56" i="2" s="1"/>
  <c r="AG24" i="2"/>
  <c r="AO76" i="2"/>
  <c r="H114" i="2" s="1"/>
  <c r="AO72" i="2"/>
  <c r="H110" i="2" s="1"/>
  <c r="AG59" i="2"/>
  <c r="AP69" i="2"/>
  <c r="I107" i="2" s="1"/>
  <c r="AF60" i="2"/>
  <c r="AP68" i="2"/>
  <c r="I106" i="2" s="1"/>
  <c r="AF63" i="2"/>
  <c r="AF62" i="2"/>
  <c r="AP56" i="2"/>
  <c r="I94" i="2" s="1"/>
  <c r="I122" i="2" s="1"/>
  <c r="AF24" i="2"/>
  <c r="AP57" i="2"/>
  <c r="I95" i="2" s="1"/>
  <c r="AG60" i="2"/>
  <c r="AG69" i="2"/>
  <c r="AG65" i="2"/>
  <c r="AP62" i="2"/>
  <c r="I100" i="2" s="1"/>
  <c r="AP59" i="2"/>
  <c r="I97" i="2" s="1"/>
  <c r="AG36" i="2"/>
  <c r="AG23" i="2"/>
  <c r="AG28" i="2"/>
  <c r="AT33" i="2"/>
  <c r="AU83" i="2"/>
  <c r="AU40" i="2"/>
  <c r="AO27" i="2"/>
  <c r="D98" i="2" s="1"/>
  <c r="AP65" i="2"/>
  <c r="I103" i="2" s="1"/>
  <c r="AP63" i="2"/>
  <c r="I101" i="2" s="1"/>
  <c r="AG26" i="2"/>
  <c r="AF25" i="2"/>
  <c r="AF33" i="2"/>
  <c r="AG34" i="2"/>
  <c r="AG67" i="2"/>
  <c r="AG31" i="2"/>
  <c r="AP31" i="2"/>
  <c r="E102" i="2" s="1"/>
  <c r="AO65" i="2"/>
  <c r="H103" i="2" s="1"/>
  <c r="AO59" i="2"/>
  <c r="H97" i="2" s="1"/>
  <c r="AO56" i="2"/>
  <c r="H94" i="2" s="1"/>
  <c r="H122" i="2" s="1"/>
  <c r="AP67" i="2"/>
  <c r="I105" i="2" s="1"/>
  <c r="AV81" i="2"/>
  <c r="AG37" i="2"/>
  <c r="AO67" i="2"/>
  <c r="H105" i="2" s="1"/>
  <c r="AP30" i="2"/>
  <c r="E101" i="2" s="1"/>
  <c r="AO61" i="2"/>
  <c r="H99" i="2" s="1"/>
  <c r="AO57" i="2"/>
  <c r="H95" i="2" s="1"/>
  <c r="AO69" i="2"/>
  <c r="H107" i="2" s="1"/>
  <c r="AO63" i="2"/>
  <c r="H101" i="2" s="1"/>
  <c r="AO62" i="2"/>
  <c r="H100" i="2" s="1"/>
  <c r="AO68" i="2"/>
  <c r="H106" i="2" s="1"/>
  <c r="AO31" i="2"/>
  <c r="D102" i="2" s="1"/>
  <c r="AO64" i="2"/>
  <c r="H102" i="2" s="1"/>
  <c r="AO58" i="2"/>
  <c r="H96" i="2" s="1"/>
  <c r="AO60" i="2"/>
  <c r="H98" i="2" s="1"/>
  <c r="AG43" i="2"/>
  <c r="AV27" i="2"/>
  <c r="AT27" i="2"/>
  <c r="AG42" i="2"/>
  <c r="AG39" i="2"/>
  <c r="AG38" i="2"/>
  <c r="AG82" i="2"/>
  <c r="AG71" i="2"/>
  <c r="AG77" i="2"/>
  <c r="AG83" i="2"/>
  <c r="AG80" i="2"/>
  <c r="AG40" i="2"/>
  <c r="AG49" i="2"/>
  <c r="AU79" i="2"/>
  <c r="AG78" i="2"/>
  <c r="AG76" i="2"/>
  <c r="AG48" i="2"/>
  <c r="AG45" i="2"/>
  <c r="AG73" i="2"/>
  <c r="AG44" i="2"/>
  <c r="AG47" i="2"/>
  <c r="AG41" i="2"/>
  <c r="AG50" i="2"/>
  <c r="AG79" i="2"/>
  <c r="AG81" i="2"/>
  <c r="AD36" i="2"/>
  <c r="AF36" i="2" s="1"/>
  <c r="AG46" i="2"/>
  <c r="AG75" i="2"/>
  <c r="AG70" i="2"/>
  <c r="AG72" i="2"/>
  <c r="AO50" i="2"/>
  <c r="D121" i="2" s="1"/>
  <c r="AF48" i="2"/>
  <c r="AO23" i="2"/>
  <c r="D94" i="2" s="1"/>
  <c r="AO33" i="2"/>
  <c r="D104" i="2" s="1"/>
  <c r="AP28" i="2"/>
  <c r="E99" i="2" s="1"/>
  <c r="AO46" i="2"/>
  <c r="AP46" i="2"/>
  <c r="E117" i="2" s="1"/>
  <c r="AP33" i="2"/>
  <c r="AO28" i="2"/>
  <c r="D99" i="2" s="1"/>
  <c r="AO34" i="2"/>
  <c r="AW34" i="2" s="1"/>
  <c r="AP23" i="2"/>
  <c r="AP35" i="2"/>
  <c r="AO44" i="2"/>
  <c r="D115" i="2" s="1"/>
  <c r="AF39" i="2"/>
  <c r="AP39" i="2"/>
  <c r="E110" i="2" s="1"/>
  <c r="AP47" i="2"/>
  <c r="E118" i="2" s="1"/>
  <c r="AF46" i="2"/>
  <c r="AF47" i="2"/>
  <c r="AO47" i="2"/>
  <c r="D118" i="2" s="1"/>
  <c r="AO42" i="2"/>
  <c r="AO24" i="2"/>
  <c r="AO39" i="2"/>
  <c r="D110" i="2" s="1"/>
  <c r="AF45" i="2"/>
  <c r="AF44" i="2"/>
  <c r="AO37" i="2"/>
  <c r="D108" i="2" s="1"/>
  <c r="AO45" i="2"/>
  <c r="AP27" i="2"/>
  <c r="AF83" i="2"/>
  <c r="AF78" i="2"/>
  <c r="AF74" i="2"/>
  <c r="AF73" i="2"/>
  <c r="AF72" i="2"/>
  <c r="AF77" i="2"/>
  <c r="AF71" i="2"/>
  <c r="AF80" i="2"/>
  <c r="AF70" i="2"/>
  <c r="AF82" i="2"/>
  <c r="AF81" i="2"/>
  <c r="AF76" i="2"/>
  <c r="AF75" i="2"/>
  <c r="AF79" i="2"/>
  <c r="AP77" i="2"/>
  <c r="I115" i="2" s="1"/>
  <c r="AP81" i="2"/>
  <c r="I119" i="2" s="1"/>
  <c r="AP78" i="2"/>
  <c r="I116" i="2" s="1"/>
  <c r="AP82" i="2"/>
  <c r="I120" i="2" s="1"/>
  <c r="AP74" i="2"/>
  <c r="I112" i="2" s="1"/>
  <c r="AP73" i="2"/>
  <c r="I111" i="2" s="1"/>
  <c r="AP72" i="2"/>
  <c r="I110" i="2" s="1"/>
  <c r="AP80" i="2"/>
  <c r="I118" i="2" s="1"/>
  <c r="AP44" i="2"/>
  <c r="AP79" i="2"/>
  <c r="I117" i="2" s="1"/>
  <c r="AP75" i="2"/>
  <c r="I113" i="2" s="1"/>
  <c r="AP71" i="2"/>
  <c r="I109" i="2" s="1"/>
  <c r="AP83" i="2"/>
  <c r="I121" i="2" s="1"/>
  <c r="AP70" i="2"/>
  <c r="I108" i="2" s="1"/>
  <c r="AP76" i="2"/>
  <c r="I114" i="2" s="1"/>
  <c r="AF32" i="2"/>
  <c r="AP26" i="2"/>
  <c r="AF49" i="2"/>
  <c r="AP45" i="2"/>
  <c r="E116" i="2" s="1"/>
  <c r="AP37" i="2"/>
  <c r="AF50" i="2"/>
  <c r="AP25" i="2"/>
  <c r="E96" i="2" s="1"/>
  <c r="AP32" i="2"/>
  <c r="AO38" i="2"/>
  <c r="D109" i="2" s="1"/>
  <c r="AF41" i="2"/>
  <c r="AP40" i="2"/>
  <c r="AF43" i="2"/>
  <c r="AF40" i="2"/>
  <c r="AO43" i="2"/>
  <c r="D114" i="2" s="1"/>
  <c r="AP49" i="2"/>
  <c r="AP50" i="2"/>
  <c r="E121" i="2" s="1"/>
  <c r="AO48" i="2"/>
  <c r="D119" i="2" s="1"/>
  <c r="AO49" i="2"/>
  <c r="D120" i="2" s="1"/>
  <c r="AF27" i="2"/>
  <c r="AO41" i="2"/>
  <c r="AF38" i="2"/>
  <c r="AP29" i="2"/>
  <c r="AP43" i="2"/>
  <c r="E114" i="2" s="1"/>
  <c r="AO40" i="2"/>
  <c r="AP48" i="2"/>
  <c r="E119" i="2" s="1"/>
  <c r="AF37" i="2"/>
  <c r="AO26" i="2"/>
  <c r="AF42" i="2"/>
  <c r="AP42" i="2"/>
  <c r="AP38" i="2"/>
  <c r="E109" i="2" s="1"/>
  <c r="AP41" i="2"/>
  <c r="E112" i="2" s="1"/>
  <c r="AO25" i="2"/>
  <c r="AP34" i="2"/>
  <c r="AO35" i="2"/>
  <c r="AO29" i="2"/>
  <c r="AP24" i="2"/>
  <c r="AH59" i="2" l="1"/>
  <c r="AI59" i="2" s="1"/>
  <c r="AJ59" i="2" s="1"/>
  <c r="AK59" i="2" s="1"/>
  <c r="AL59" i="2" s="1"/>
  <c r="AM59" i="2" s="1"/>
  <c r="AQ59" i="2" s="1"/>
  <c r="AH28" i="2"/>
  <c r="AI28" i="2" s="1"/>
  <c r="AJ28" i="2" s="1"/>
  <c r="AK28" i="2" s="1"/>
  <c r="AL28" i="2" s="1"/>
  <c r="AM28" i="2" s="1"/>
  <c r="AQ28" i="2" s="1"/>
  <c r="AH34" i="2"/>
  <c r="AI34" i="2" s="1"/>
  <c r="AJ34" i="2" s="1"/>
  <c r="AK34" i="2" s="1"/>
  <c r="AL34" i="2" s="1"/>
  <c r="AM34" i="2" s="1"/>
  <c r="AQ34" i="2" s="1"/>
  <c r="AH35" i="2"/>
  <c r="AI35" i="2" s="1"/>
  <c r="AJ35" i="2" s="1"/>
  <c r="AK35" i="2" s="1"/>
  <c r="AL35" i="2" s="1"/>
  <c r="AM35" i="2" s="1"/>
  <c r="AQ35" i="2" s="1"/>
  <c r="AH68" i="2"/>
  <c r="AI68" i="2" s="1"/>
  <c r="AJ68" i="2" s="1"/>
  <c r="AK68" i="2" s="1"/>
  <c r="AL68" i="2" s="1"/>
  <c r="AN68" i="2" s="1"/>
  <c r="AR68" i="2" s="1"/>
  <c r="AH31" i="2"/>
  <c r="AI31" i="2" s="1"/>
  <c r="AJ31" i="2" s="1"/>
  <c r="AK31" i="2" s="1"/>
  <c r="AL31" i="2" s="1"/>
  <c r="AH63" i="2"/>
  <c r="AI63" i="2" s="1"/>
  <c r="AJ63" i="2" s="1"/>
  <c r="AK63" i="2" s="1"/>
  <c r="AL63" i="2" s="1"/>
  <c r="AM63" i="2" s="1"/>
  <c r="AQ63" i="2" s="1"/>
  <c r="AW66" i="2"/>
  <c r="J104" i="2" s="1"/>
  <c r="W14" i="18" s="1"/>
  <c r="AH29" i="2"/>
  <c r="AI29" i="2" s="1"/>
  <c r="AJ29" i="2" s="1"/>
  <c r="AK29" i="2" s="1"/>
  <c r="AL29" i="2" s="1"/>
  <c r="AM29" i="2" s="1"/>
  <c r="AQ29" i="2" s="1"/>
  <c r="AH30" i="2"/>
  <c r="AI30" i="2" s="1"/>
  <c r="AJ30" i="2" s="1"/>
  <c r="AK30" i="2" s="1"/>
  <c r="AL30" i="2" s="1"/>
  <c r="AM30" i="2" s="1"/>
  <c r="AQ30" i="2" s="1"/>
  <c r="AH62" i="2"/>
  <c r="AI62" i="2" s="1"/>
  <c r="AJ62" i="2" s="1"/>
  <c r="AK62" i="2" s="1"/>
  <c r="AL62" i="2" s="1"/>
  <c r="AN62" i="2" s="1"/>
  <c r="AR62" i="2" s="1"/>
  <c r="AH74" i="2"/>
  <c r="AI74" i="2" s="1"/>
  <c r="AJ74" i="2" s="1"/>
  <c r="AK74" i="2" s="1"/>
  <c r="AL74" i="2" s="1"/>
  <c r="AM74" i="2" s="1"/>
  <c r="AQ74" i="2" s="1"/>
  <c r="AH25" i="2"/>
  <c r="AI25" i="2" s="1"/>
  <c r="AJ25" i="2" s="1"/>
  <c r="AK25" i="2" s="1"/>
  <c r="AL25" i="2" s="1"/>
  <c r="AM25" i="2" s="1"/>
  <c r="AQ25" i="2" s="1"/>
  <c r="AH32" i="2"/>
  <c r="AI32" i="2" s="1"/>
  <c r="AJ32" i="2" s="1"/>
  <c r="AK32" i="2" s="1"/>
  <c r="AL32" i="2" s="1"/>
  <c r="AM32" i="2" s="1"/>
  <c r="AQ32" i="2" s="1"/>
  <c r="AH23" i="2"/>
  <c r="AI23" i="2" s="1"/>
  <c r="AJ23" i="2" s="1"/>
  <c r="AK23" i="2" s="1"/>
  <c r="AL23" i="2" s="1"/>
  <c r="AM23" i="2" s="1"/>
  <c r="AQ23" i="2" s="1"/>
  <c r="AH33" i="2"/>
  <c r="AI33" i="2" s="1"/>
  <c r="AJ33" i="2" s="1"/>
  <c r="AK33" i="2" s="1"/>
  <c r="AL33" i="2" s="1"/>
  <c r="AM33" i="2" s="1"/>
  <c r="AQ33" i="2" s="1"/>
  <c r="AH26" i="2"/>
  <c r="AI26" i="2" s="1"/>
  <c r="AJ26" i="2" s="1"/>
  <c r="AK26" i="2" s="1"/>
  <c r="AL26" i="2" s="1"/>
  <c r="AM26" i="2" s="1"/>
  <c r="AQ26" i="2" s="1"/>
  <c r="AX61" i="2"/>
  <c r="K99" i="2" s="1"/>
  <c r="X9" i="18" s="1"/>
  <c r="AW30" i="2"/>
  <c r="F101" i="2" s="1"/>
  <c r="AW67" i="2"/>
  <c r="J105" i="2" s="1"/>
  <c r="W15" i="18" s="1"/>
  <c r="AH38" i="2"/>
  <c r="AI38" i="2" s="1"/>
  <c r="AJ38" i="2" s="1"/>
  <c r="AK38" i="2" s="1"/>
  <c r="AL38" i="2" s="1"/>
  <c r="AM38" i="2" s="1"/>
  <c r="AQ38" i="2" s="1"/>
  <c r="AW32" i="2"/>
  <c r="F103" i="2" s="1"/>
  <c r="AX69" i="2"/>
  <c r="K107" i="2" s="1"/>
  <c r="X17" i="18" s="1"/>
  <c r="AX31" i="2"/>
  <c r="G102" i="2" s="1"/>
  <c r="AX65" i="2"/>
  <c r="K103" i="2" s="1"/>
  <c r="X13" i="18" s="1"/>
  <c r="AX30" i="2"/>
  <c r="G101" i="2" s="1"/>
  <c r="AH60" i="2"/>
  <c r="AI60" i="2" s="1"/>
  <c r="AJ60" i="2" s="1"/>
  <c r="AK60" i="2" s="1"/>
  <c r="AL60" i="2" s="1"/>
  <c r="AM60" i="2" s="1"/>
  <c r="AQ60" i="2" s="1"/>
  <c r="AX56" i="2"/>
  <c r="K94" i="2" s="1"/>
  <c r="K122" i="2" s="1"/>
  <c r="AH36" i="2"/>
  <c r="AI36" i="2" s="1"/>
  <c r="AJ36" i="2" s="1"/>
  <c r="AK36" i="2" s="1"/>
  <c r="AL36" i="2" s="1"/>
  <c r="AH65" i="2"/>
  <c r="AI65" i="2" s="1"/>
  <c r="AJ65" i="2" s="1"/>
  <c r="AK65" i="2" s="1"/>
  <c r="AL65" i="2" s="1"/>
  <c r="AM65" i="2" s="1"/>
  <c r="AQ65" i="2" s="1"/>
  <c r="AH69" i="2"/>
  <c r="AI69" i="2" s="1"/>
  <c r="AJ69" i="2" s="1"/>
  <c r="AK69" i="2" s="1"/>
  <c r="AL69" i="2" s="1"/>
  <c r="AM69" i="2" s="1"/>
  <c r="AQ69" i="2" s="1"/>
  <c r="AX64" i="2"/>
  <c r="K102" i="2" s="1"/>
  <c r="X12" i="18" s="1"/>
  <c r="AH24" i="2"/>
  <c r="AI24" i="2" s="1"/>
  <c r="AJ24" i="2" s="1"/>
  <c r="AK24" i="2" s="1"/>
  <c r="AL24" i="2" s="1"/>
  <c r="AM24" i="2" s="1"/>
  <c r="AQ24" i="2" s="1"/>
  <c r="AH57" i="2"/>
  <c r="AI57" i="2" s="1"/>
  <c r="AJ57" i="2" s="1"/>
  <c r="AK57" i="2" s="1"/>
  <c r="AL57" i="2" s="1"/>
  <c r="AM57" i="2" s="1"/>
  <c r="AQ57" i="2" s="1"/>
  <c r="AH64" i="2"/>
  <c r="AI64" i="2" s="1"/>
  <c r="AJ64" i="2" s="1"/>
  <c r="AK64" i="2" s="1"/>
  <c r="AL64" i="2" s="1"/>
  <c r="AM64" i="2" s="1"/>
  <c r="AQ64" i="2" s="1"/>
  <c r="AW50" i="2"/>
  <c r="F121" i="2" s="1"/>
  <c r="M31" i="18" s="1"/>
  <c r="AX66" i="2"/>
  <c r="K104" i="2" s="1"/>
  <c r="X14" i="18" s="1"/>
  <c r="AX58" i="2"/>
  <c r="K96" i="2" s="1"/>
  <c r="X6" i="18" s="1"/>
  <c r="AX63" i="2"/>
  <c r="K101" i="2" s="1"/>
  <c r="X11" i="18" s="1"/>
  <c r="AH61" i="2"/>
  <c r="AI61" i="2" s="1"/>
  <c r="AJ61" i="2" s="1"/>
  <c r="AK61" i="2" s="1"/>
  <c r="AL61" i="2" s="1"/>
  <c r="AN61" i="2" s="1"/>
  <c r="AR61" i="2" s="1"/>
  <c r="AX60" i="2"/>
  <c r="K98" i="2" s="1"/>
  <c r="X8" i="18" s="1"/>
  <c r="AH67" i="2"/>
  <c r="AI67" i="2" s="1"/>
  <c r="AJ67" i="2" s="1"/>
  <c r="AK67" i="2" s="1"/>
  <c r="AL67" i="2" s="1"/>
  <c r="AM67" i="2" s="1"/>
  <c r="AQ67" i="2" s="1"/>
  <c r="AX59" i="2"/>
  <c r="K97" i="2" s="1"/>
  <c r="X7" i="18" s="1"/>
  <c r="AX68" i="2"/>
  <c r="K106" i="2" s="1"/>
  <c r="X16" i="18" s="1"/>
  <c r="AH27" i="2"/>
  <c r="AI27" i="2" s="1"/>
  <c r="AJ27" i="2" s="1"/>
  <c r="AK27" i="2" s="1"/>
  <c r="AL27" i="2" s="1"/>
  <c r="AM27" i="2" s="1"/>
  <c r="AQ27" i="2" s="1"/>
  <c r="AH37" i="2"/>
  <c r="AI37" i="2" s="1"/>
  <c r="AJ37" i="2" s="1"/>
  <c r="AK37" i="2" s="1"/>
  <c r="AL37" i="2" s="1"/>
  <c r="AN37" i="2" s="1"/>
  <c r="AR37" i="2" s="1"/>
  <c r="AX67" i="2"/>
  <c r="K105" i="2" s="1"/>
  <c r="X15" i="18" s="1"/>
  <c r="AX57" i="2"/>
  <c r="K95" i="2" s="1"/>
  <c r="X5" i="18" s="1"/>
  <c r="AW37" i="2"/>
  <c r="F108" i="2" s="1"/>
  <c r="M18" i="18" s="1"/>
  <c r="AH73" i="2"/>
  <c r="AI73" i="2" s="1"/>
  <c r="AJ73" i="2" s="1"/>
  <c r="AK73" i="2" s="1"/>
  <c r="AL73" i="2" s="1"/>
  <c r="AM73" i="2" s="1"/>
  <c r="AQ73" i="2" s="1"/>
  <c r="AX62" i="2"/>
  <c r="K100" i="2" s="1"/>
  <c r="X10" i="18" s="1"/>
  <c r="AH42" i="2"/>
  <c r="AI42" i="2" s="1"/>
  <c r="AJ42" i="2" s="1"/>
  <c r="AK42" i="2" s="1"/>
  <c r="AL42" i="2" s="1"/>
  <c r="AM42" i="2" s="1"/>
  <c r="AQ42" i="2" s="1"/>
  <c r="AX47" i="2"/>
  <c r="G118" i="2" s="1"/>
  <c r="N28" i="18" s="1"/>
  <c r="AH71" i="2"/>
  <c r="AI71" i="2" s="1"/>
  <c r="AJ71" i="2" s="1"/>
  <c r="AK71" i="2" s="1"/>
  <c r="AL71" i="2" s="1"/>
  <c r="AM71" i="2" s="1"/>
  <c r="AQ71" i="2" s="1"/>
  <c r="AW27" i="2"/>
  <c r="F98" i="2" s="1"/>
  <c r="AW31" i="2"/>
  <c r="F102" i="2" s="1"/>
  <c r="AH43" i="2"/>
  <c r="AI43" i="2" s="1"/>
  <c r="AJ43" i="2" s="1"/>
  <c r="AK43" i="2" s="1"/>
  <c r="AL43" i="2" s="1"/>
  <c r="AM43" i="2" s="1"/>
  <c r="AQ43" i="2" s="1"/>
  <c r="AH78" i="2"/>
  <c r="AI78" i="2" s="1"/>
  <c r="AJ78" i="2" s="1"/>
  <c r="AK78" i="2" s="1"/>
  <c r="AL78" i="2" s="1"/>
  <c r="AM78" i="2" s="1"/>
  <c r="AQ78" i="2" s="1"/>
  <c r="AW59" i="2"/>
  <c r="J97" i="2" s="1"/>
  <c r="W7" i="18" s="1"/>
  <c r="AW57" i="2"/>
  <c r="J95" i="2" s="1"/>
  <c r="W5" i="18" s="1"/>
  <c r="AW60" i="2"/>
  <c r="J98" i="2" s="1"/>
  <c r="W8" i="18" s="1"/>
  <c r="AW69" i="2"/>
  <c r="J107" i="2" s="1"/>
  <c r="W17" i="18" s="1"/>
  <c r="AW56" i="2"/>
  <c r="J94" i="2" s="1"/>
  <c r="J122" i="2" s="1"/>
  <c r="AW65" i="2"/>
  <c r="J103" i="2" s="1"/>
  <c r="W13" i="18" s="1"/>
  <c r="AW68" i="2"/>
  <c r="J106" i="2" s="1"/>
  <c r="W16" i="18" s="1"/>
  <c r="AW64" i="2"/>
  <c r="J102" i="2" s="1"/>
  <c r="W12" i="18" s="1"/>
  <c r="AW63" i="2"/>
  <c r="J101" i="2" s="1"/>
  <c r="W11" i="18" s="1"/>
  <c r="AH47" i="2"/>
  <c r="AI47" i="2" s="1"/>
  <c r="AJ47" i="2" s="1"/>
  <c r="AK47" i="2" s="1"/>
  <c r="AL47" i="2" s="1"/>
  <c r="AM47" i="2" s="1"/>
  <c r="AQ47" i="2" s="1"/>
  <c r="AW58" i="2"/>
  <c r="J96" i="2" s="1"/>
  <c r="W6" i="18" s="1"/>
  <c r="AW61" i="2"/>
  <c r="J99" i="2" s="1"/>
  <c r="W9" i="18" s="1"/>
  <c r="AW62" i="2"/>
  <c r="J100" i="2" s="1"/>
  <c r="W10" i="18" s="1"/>
  <c r="AH39" i="2"/>
  <c r="AI39" i="2" s="1"/>
  <c r="AJ39" i="2" s="1"/>
  <c r="AK39" i="2" s="1"/>
  <c r="AL39" i="2" s="1"/>
  <c r="AH49" i="2"/>
  <c r="AI49" i="2" s="1"/>
  <c r="AJ49" i="2" s="1"/>
  <c r="AK49" i="2" s="1"/>
  <c r="AL49" i="2" s="1"/>
  <c r="AN49" i="2" s="1"/>
  <c r="AR49" i="2" s="1"/>
  <c r="AH82" i="2"/>
  <c r="AI82" i="2" s="1"/>
  <c r="AJ82" i="2" s="1"/>
  <c r="AK82" i="2" s="1"/>
  <c r="AL82" i="2" s="1"/>
  <c r="AM82" i="2" s="1"/>
  <c r="AQ82" i="2" s="1"/>
  <c r="AX46" i="2"/>
  <c r="G117" i="2" s="1"/>
  <c r="C24" i="6" s="1"/>
  <c r="F24" i="6" s="1"/>
  <c r="B24" i="10" s="1"/>
  <c r="AH75" i="2"/>
  <c r="AI75" i="2" s="1"/>
  <c r="AJ75" i="2" s="1"/>
  <c r="AK75" i="2" s="1"/>
  <c r="AL75" i="2" s="1"/>
  <c r="AM75" i="2" s="1"/>
  <c r="AQ75" i="2" s="1"/>
  <c r="AH80" i="2"/>
  <c r="AI80" i="2" s="1"/>
  <c r="AJ80" i="2" s="1"/>
  <c r="AK80" i="2" s="1"/>
  <c r="AL80" i="2" s="1"/>
  <c r="AM80" i="2" s="1"/>
  <c r="AQ80" i="2" s="1"/>
  <c r="AW23" i="2"/>
  <c r="F94" i="2" s="1"/>
  <c r="AH50" i="2"/>
  <c r="AI50" i="2" s="1"/>
  <c r="AJ50" i="2" s="1"/>
  <c r="AK50" i="2" s="1"/>
  <c r="AL50" i="2" s="1"/>
  <c r="AM50" i="2" s="1"/>
  <c r="AQ50" i="2" s="1"/>
  <c r="AW44" i="2"/>
  <c r="F115" i="2" s="1"/>
  <c r="B22" i="6" s="1"/>
  <c r="E22" i="6" s="1"/>
  <c r="A22" i="10" s="1"/>
  <c r="AH40" i="2"/>
  <c r="AI40" i="2" s="1"/>
  <c r="AJ40" i="2" s="1"/>
  <c r="AK40" i="2" s="1"/>
  <c r="AL40" i="2" s="1"/>
  <c r="AM40" i="2" s="1"/>
  <c r="AQ40" i="2" s="1"/>
  <c r="AH70" i="2"/>
  <c r="AI70" i="2" s="1"/>
  <c r="AJ70" i="2" s="1"/>
  <c r="AK70" i="2" s="1"/>
  <c r="AL70" i="2" s="1"/>
  <c r="AM70" i="2" s="1"/>
  <c r="AQ70" i="2" s="1"/>
  <c r="AH46" i="2"/>
  <c r="AI46" i="2" s="1"/>
  <c r="AJ46" i="2" s="1"/>
  <c r="AK46" i="2" s="1"/>
  <c r="AL46" i="2" s="1"/>
  <c r="H13" i="18"/>
  <c r="B9" i="3"/>
  <c r="E9" i="3" s="1"/>
  <c r="A9" i="9" s="1"/>
  <c r="H4" i="18"/>
  <c r="E95" i="2"/>
  <c r="D100" i="2"/>
  <c r="AX34" i="2"/>
  <c r="G105" i="2" s="1"/>
  <c r="N15" i="18" s="1"/>
  <c r="E105" i="2"/>
  <c r="C12" i="3" s="1"/>
  <c r="F12" i="3" s="1"/>
  <c r="B12" i="9" s="1"/>
  <c r="AX42" i="2"/>
  <c r="G113" i="2" s="1"/>
  <c r="C20" i="6" s="1"/>
  <c r="F20" i="6" s="1"/>
  <c r="B20" i="10" s="1"/>
  <c r="E113" i="2"/>
  <c r="I23" i="18" s="1"/>
  <c r="D97" i="2"/>
  <c r="AX49" i="2"/>
  <c r="G120" i="2" s="1"/>
  <c r="C27" i="6" s="1"/>
  <c r="F27" i="6" s="1"/>
  <c r="B27" i="10" s="1"/>
  <c r="E120" i="2"/>
  <c r="I30" i="18" s="1"/>
  <c r="E111" i="2"/>
  <c r="I21" i="18" s="1"/>
  <c r="E103" i="2"/>
  <c r="AX26" i="2"/>
  <c r="G97" i="2" s="1"/>
  <c r="C4" i="6" s="1"/>
  <c r="F4" i="6" s="1"/>
  <c r="B4" i="10" s="1"/>
  <c r="E97" i="2"/>
  <c r="C4" i="3" s="1"/>
  <c r="F4" i="3" s="1"/>
  <c r="B4" i="9" s="1"/>
  <c r="AW45" i="2"/>
  <c r="F116" i="2" s="1"/>
  <c r="B23" i="6" s="1"/>
  <c r="E23" i="6" s="1"/>
  <c r="A23" i="10" s="1"/>
  <c r="D116" i="2"/>
  <c r="H26" i="18" s="1"/>
  <c r="D95" i="2"/>
  <c r="E106" i="2"/>
  <c r="I16" i="18" s="1"/>
  <c r="AW47" i="2"/>
  <c r="F118" i="2" s="1"/>
  <c r="B25" i="6" s="1"/>
  <c r="E25" i="6" s="1"/>
  <c r="A25" i="10" s="1"/>
  <c r="AX39" i="2"/>
  <c r="G110" i="2" s="1"/>
  <c r="C17" i="6" s="1"/>
  <c r="F17" i="6" s="1"/>
  <c r="B17" i="10" s="1"/>
  <c r="AW33" i="2"/>
  <c r="F104" i="2" s="1"/>
  <c r="B11" i="6" s="1"/>
  <c r="E11" i="6" s="1"/>
  <c r="A11" i="10" s="1"/>
  <c r="I11" i="18"/>
  <c r="B5" i="3"/>
  <c r="E5" i="3" s="1"/>
  <c r="A5" i="9" s="1"/>
  <c r="F105" i="2"/>
  <c r="M15" i="18" s="1"/>
  <c r="B8" i="3"/>
  <c r="E8" i="3" s="1"/>
  <c r="A8" i="9" s="1"/>
  <c r="I12" i="18"/>
  <c r="D106" i="2"/>
  <c r="AW25" i="2"/>
  <c r="F96" i="2" s="1"/>
  <c r="M6" i="18" s="1"/>
  <c r="D96" i="2"/>
  <c r="H6" i="18" s="1"/>
  <c r="AW40" i="2"/>
  <c r="F111" i="2" s="1"/>
  <c r="B18" i="6" s="1"/>
  <c r="E18" i="6" s="1"/>
  <c r="A18" i="10" s="1"/>
  <c r="D111" i="2"/>
  <c r="B18" i="3" s="1"/>
  <c r="E18" i="3" s="1"/>
  <c r="A18" i="9" s="1"/>
  <c r="E100" i="2"/>
  <c r="AW41" i="2"/>
  <c r="F112" i="2" s="1"/>
  <c r="M22" i="18" s="1"/>
  <c r="D112" i="2"/>
  <c r="B19" i="3" s="1"/>
  <c r="E19" i="3" s="1"/>
  <c r="A19" i="9" s="1"/>
  <c r="AH41" i="2"/>
  <c r="AI41" i="2" s="1"/>
  <c r="AJ41" i="2" s="1"/>
  <c r="AK41" i="2" s="1"/>
  <c r="AL41" i="2" s="1"/>
  <c r="AM41" i="2" s="1"/>
  <c r="AQ41" i="2" s="1"/>
  <c r="AX37" i="2"/>
  <c r="G108" i="2" s="1"/>
  <c r="C15" i="6" s="1"/>
  <c r="F15" i="6" s="1"/>
  <c r="B15" i="10" s="1"/>
  <c r="E108" i="2"/>
  <c r="I18" i="18" s="1"/>
  <c r="AX44" i="2"/>
  <c r="G115" i="2" s="1"/>
  <c r="N25" i="18" s="1"/>
  <c r="E115" i="2"/>
  <c r="C22" i="3" s="1"/>
  <c r="F22" i="3" s="1"/>
  <c r="B22" i="9" s="1"/>
  <c r="AH76" i="2"/>
  <c r="AI76" i="2" s="1"/>
  <c r="AJ76" i="2" s="1"/>
  <c r="AK76" i="2" s="1"/>
  <c r="AL76" i="2" s="1"/>
  <c r="AM76" i="2" s="1"/>
  <c r="AQ76" i="2" s="1"/>
  <c r="E98" i="2"/>
  <c r="AH45" i="2"/>
  <c r="AI45" i="2" s="1"/>
  <c r="AJ45" i="2" s="1"/>
  <c r="AK45" i="2" s="1"/>
  <c r="AL45" i="2" s="1"/>
  <c r="AN45" i="2" s="1"/>
  <c r="AR45" i="2" s="1"/>
  <c r="AW42" i="2"/>
  <c r="F113" i="2" s="1"/>
  <c r="M23" i="18" s="1"/>
  <c r="D113" i="2"/>
  <c r="H23" i="18" s="1"/>
  <c r="E94" i="2"/>
  <c r="E122" i="2" s="1"/>
  <c r="D105" i="2"/>
  <c r="H15" i="18" s="1"/>
  <c r="AX33" i="2"/>
  <c r="G104" i="2" s="1"/>
  <c r="C11" i="6" s="1"/>
  <c r="F11" i="6" s="1"/>
  <c r="B11" i="10" s="1"/>
  <c r="E104" i="2"/>
  <c r="C11" i="3" s="1"/>
  <c r="F11" i="3" s="1"/>
  <c r="B11" i="9" s="1"/>
  <c r="AW46" i="2"/>
  <c r="F117" i="2" s="1"/>
  <c r="M27" i="18" s="1"/>
  <c r="D117" i="2"/>
  <c r="B24" i="3" s="1"/>
  <c r="E24" i="3" s="1"/>
  <c r="A24" i="9" s="1"/>
  <c r="AH48" i="2"/>
  <c r="AI48" i="2" s="1"/>
  <c r="AJ48" i="2" s="1"/>
  <c r="AK48" i="2" s="1"/>
  <c r="AL48" i="2" s="1"/>
  <c r="AM48" i="2" s="1"/>
  <c r="AQ48" i="2" s="1"/>
  <c r="AH44" i="2"/>
  <c r="AI44" i="2" s="1"/>
  <c r="AJ44" i="2" s="1"/>
  <c r="AK44" i="2" s="1"/>
  <c r="AL44" i="2" s="1"/>
  <c r="AM44" i="2" s="1"/>
  <c r="AQ44" i="2" s="1"/>
  <c r="AH79" i="2"/>
  <c r="AI79" i="2" s="1"/>
  <c r="AJ79" i="2" s="1"/>
  <c r="AK79" i="2" s="1"/>
  <c r="AL79" i="2" s="1"/>
  <c r="AM79" i="2" s="1"/>
  <c r="AQ79" i="2" s="1"/>
  <c r="AP36" i="2"/>
  <c r="E107" i="2" s="1"/>
  <c r="S7" i="18"/>
  <c r="S6" i="18"/>
  <c r="R16" i="18"/>
  <c r="S15" i="18"/>
  <c r="S9" i="18"/>
  <c r="S8" i="18"/>
  <c r="R6" i="18"/>
  <c r="R11" i="18"/>
  <c r="S5" i="18"/>
  <c r="S10" i="18"/>
  <c r="R15" i="18"/>
  <c r="R17" i="18"/>
  <c r="S13" i="18"/>
  <c r="S17" i="18"/>
  <c r="R7" i="18"/>
  <c r="R14" i="18"/>
  <c r="S16" i="18"/>
  <c r="S14" i="18"/>
  <c r="R12" i="18"/>
  <c r="R10" i="18"/>
  <c r="R13" i="18"/>
  <c r="S11" i="18"/>
  <c r="R9" i="18"/>
  <c r="R8" i="18"/>
  <c r="S12" i="18"/>
  <c r="R5" i="18"/>
  <c r="AX40" i="2"/>
  <c r="AO36" i="2"/>
  <c r="D107" i="2" s="1"/>
  <c r="S4" i="18"/>
  <c r="R4" i="18"/>
  <c r="AX83" i="2"/>
  <c r="AX80" i="2"/>
  <c r="AX79" i="2"/>
  <c r="AX72" i="2"/>
  <c r="AX81" i="2"/>
  <c r="AW81" i="2"/>
  <c r="AW83" i="2"/>
  <c r="AW76" i="2"/>
  <c r="AW70" i="2"/>
  <c r="AW82" i="2"/>
  <c r="AX76" i="2"/>
  <c r="AX73" i="2"/>
  <c r="AX77" i="2"/>
  <c r="AW75" i="2"/>
  <c r="AW73" i="2"/>
  <c r="AW71" i="2"/>
  <c r="AW78" i="2"/>
  <c r="AX75" i="2"/>
  <c r="AX78" i="2"/>
  <c r="AW79" i="2"/>
  <c r="AX70" i="2"/>
  <c r="AX71" i="2"/>
  <c r="AX74" i="2"/>
  <c r="AX82" i="2"/>
  <c r="AW74" i="2"/>
  <c r="AW77" i="2"/>
  <c r="AW80" i="2"/>
  <c r="AW72" i="2"/>
  <c r="AM31" i="2"/>
  <c r="AQ31" i="2" s="1"/>
  <c r="AX23" i="2"/>
  <c r="AX28" i="2"/>
  <c r="G99" i="2" s="1"/>
  <c r="N9" i="18" s="1"/>
  <c r="AW49" i="2"/>
  <c r="AW28" i="2"/>
  <c r="AX45" i="2"/>
  <c r="AX35" i="2"/>
  <c r="AX27" i="2"/>
  <c r="AX48" i="2"/>
  <c r="AW43" i="2"/>
  <c r="AX43" i="2"/>
  <c r="AW24" i="2"/>
  <c r="AW29" i="2"/>
  <c r="AW39" i="2"/>
  <c r="AX32" i="2"/>
  <c r="AX38" i="2"/>
  <c r="AN56" i="2"/>
  <c r="AR56" i="2" s="1"/>
  <c r="AN58" i="2"/>
  <c r="AR58" i="2" s="1"/>
  <c r="D122" i="2"/>
  <c r="AH81" i="2"/>
  <c r="AH77" i="2"/>
  <c r="AN66" i="2"/>
  <c r="AR66" i="2" s="1"/>
  <c r="AH72" i="2"/>
  <c r="AH83" i="2"/>
  <c r="C9" i="3"/>
  <c r="F9" i="3" s="1"/>
  <c r="B9" i="9" s="1"/>
  <c r="AW38" i="2"/>
  <c r="AX41" i="2"/>
  <c r="AX25" i="2"/>
  <c r="AX24" i="2"/>
  <c r="AW35" i="2"/>
  <c r="AW48" i="2"/>
  <c r="AX50" i="2"/>
  <c r="B1" i="3"/>
  <c r="E1" i="3" s="1"/>
  <c r="A1" i="9" s="1"/>
  <c r="AW26" i="2"/>
  <c r="AX29" i="2"/>
  <c r="G100" i="2" s="1"/>
  <c r="C7" i="6" s="1"/>
  <c r="F7" i="6" s="1"/>
  <c r="B7" i="10" s="1"/>
  <c r="H11" i="18"/>
  <c r="H12" i="18"/>
  <c r="C8" i="3"/>
  <c r="F8" i="3" s="1"/>
  <c r="B8" i="9" s="1"/>
  <c r="H8" i="18"/>
  <c r="B10" i="3"/>
  <c r="E10" i="3" s="1"/>
  <c r="A10" i="9" s="1"/>
  <c r="B22" i="3"/>
  <c r="E22" i="3" s="1"/>
  <c r="A22" i="9" s="1"/>
  <c r="H25" i="18"/>
  <c r="C24" i="3"/>
  <c r="F24" i="3" s="1"/>
  <c r="B24" i="9" s="1"/>
  <c r="I27" i="18"/>
  <c r="H9" i="18"/>
  <c r="H19" i="18"/>
  <c r="I28" i="18"/>
  <c r="C25" i="3"/>
  <c r="F25" i="3" s="1"/>
  <c r="B25" i="9" s="1"/>
  <c r="B28" i="3"/>
  <c r="E28" i="3" s="1"/>
  <c r="A28" i="9" s="1"/>
  <c r="H31" i="18"/>
  <c r="C17" i="3"/>
  <c r="F17" i="3" s="1"/>
  <c r="B17" i="9" s="1"/>
  <c r="I20" i="18"/>
  <c r="H14" i="18"/>
  <c r="B11" i="3"/>
  <c r="E11" i="3" s="1"/>
  <c r="A11" i="9" s="1"/>
  <c r="H18" i="18"/>
  <c r="B15" i="3"/>
  <c r="E15" i="3" s="1"/>
  <c r="A15" i="9" s="1"/>
  <c r="B25" i="3"/>
  <c r="E25" i="3" s="1"/>
  <c r="A25" i="9" s="1"/>
  <c r="H28" i="18"/>
  <c r="C16" i="3"/>
  <c r="F16" i="3" s="1"/>
  <c r="B16" i="9" s="1"/>
  <c r="C6" i="3"/>
  <c r="F6" i="3" s="1"/>
  <c r="B6" i="9" s="1"/>
  <c r="I9" i="18"/>
  <c r="B17" i="3"/>
  <c r="E17" i="3" s="1"/>
  <c r="A17" i="9" s="1"/>
  <c r="AN59" i="2" l="1"/>
  <c r="AR59" i="2" s="1"/>
  <c r="AN28" i="2"/>
  <c r="AR28" i="2" s="1"/>
  <c r="AM68" i="2"/>
  <c r="AQ68" i="2" s="1"/>
  <c r="AN35" i="2"/>
  <c r="AR35" i="2" s="1"/>
  <c r="AN34" i="2"/>
  <c r="AR34" i="2" s="1"/>
  <c r="AN29" i="2"/>
  <c r="AR29" i="2" s="1"/>
  <c r="AN63" i="2"/>
  <c r="AR63" i="2" s="1"/>
  <c r="AN31" i="2"/>
  <c r="AR31" i="2" s="1"/>
  <c r="AN30" i="2"/>
  <c r="AR30" i="2" s="1"/>
  <c r="AM62" i="2"/>
  <c r="AQ62" i="2" s="1"/>
  <c r="AN65" i="2"/>
  <c r="AR65" i="2" s="1"/>
  <c r="AN25" i="2"/>
  <c r="AR25" i="2" s="1"/>
  <c r="AN80" i="2"/>
  <c r="AR80" i="2" s="1"/>
  <c r="AN26" i="2"/>
  <c r="AR26" i="2" s="1"/>
  <c r="B15" i="6"/>
  <c r="E15" i="6" s="1"/>
  <c r="A15" i="10" s="1"/>
  <c r="AM36" i="2"/>
  <c r="AQ36" i="2" s="1"/>
  <c r="C25" i="6"/>
  <c r="F25" i="6" s="1"/>
  <c r="B25" i="10" s="1"/>
  <c r="AN27" i="2"/>
  <c r="AR27" i="2" s="1"/>
  <c r="AN23" i="2"/>
  <c r="AR23" i="2" s="1"/>
  <c r="AN60" i="2"/>
  <c r="AR60" i="2" s="1"/>
  <c r="AN32" i="2"/>
  <c r="AR32" i="2" s="1"/>
  <c r="AN33" i="2"/>
  <c r="AR33" i="2" s="1"/>
  <c r="B12" i="6"/>
  <c r="E12" i="6" s="1"/>
  <c r="A12" i="10" s="1"/>
  <c r="B28" i="6"/>
  <c r="E28" i="6" s="1"/>
  <c r="A28" i="10" s="1"/>
  <c r="M25" i="18"/>
  <c r="AN43" i="2"/>
  <c r="AR43" i="2" s="1"/>
  <c r="AM49" i="2"/>
  <c r="AQ49" i="2" s="1"/>
  <c r="AN40" i="2"/>
  <c r="AR40" i="2" s="1"/>
  <c r="AN36" i="2"/>
  <c r="AR36" i="2" s="1"/>
  <c r="AN24" i="2"/>
  <c r="AR24" i="2" s="1"/>
  <c r="AN42" i="2"/>
  <c r="AR42" i="2" s="1"/>
  <c r="AN39" i="2"/>
  <c r="AR39" i="2" s="1"/>
  <c r="X4" i="18"/>
  <c r="AM39" i="2"/>
  <c r="AQ39" i="2" s="1"/>
  <c r="C22" i="6"/>
  <c r="F22" i="6" s="1"/>
  <c r="B22" i="10" s="1"/>
  <c r="AN47" i="2"/>
  <c r="AR47" i="2" s="1"/>
  <c r="AN64" i="2"/>
  <c r="AR64" i="2" s="1"/>
  <c r="AN69" i="2"/>
  <c r="AR69" i="2" s="1"/>
  <c r="B24" i="6"/>
  <c r="E24" i="6" s="1"/>
  <c r="A24" i="10" s="1"/>
  <c r="C27" i="3"/>
  <c r="F27" i="3" s="1"/>
  <c r="B27" i="9" s="1"/>
  <c r="I7" i="18"/>
  <c r="H22" i="18"/>
  <c r="AM45" i="2"/>
  <c r="AQ45" i="2" s="1"/>
  <c r="AN57" i="2"/>
  <c r="AR57" i="2" s="1"/>
  <c r="N14" i="18"/>
  <c r="AN67" i="2"/>
  <c r="AR67" i="2" s="1"/>
  <c r="N7" i="18"/>
  <c r="N20" i="18"/>
  <c r="C6" i="6"/>
  <c r="F6" i="6" s="1"/>
  <c r="B6" i="10" s="1"/>
  <c r="B3" i="3"/>
  <c r="E3" i="3" s="1"/>
  <c r="A3" i="9" s="1"/>
  <c r="N27" i="18"/>
  <c r="AN46" i="2"/>
  <c r="AR46" i="2" s="1"/>
  <c r="M14" i="18"/>
  <c r="W4" i="18"/>
  <c r="AM46" i="2"/>
  <c r="AQ46" i="2" s="1"/>
  <c r="B20" i="3"/>
  <c r="E20" i="3" s="1"/>
  <c r="A20" i="9" s="1"/>
  <c r="AN71" i="2"/>
  <c r="AR71" i="2" s="1"/>
  <c r="AN48" i="2"/>
  <c r="AR48" i="2" s="1"/>
  <c r="AN73" i="2"/>
  <c r="AR73" i="2" s="1"/>
  <c r="B23" i="3"/>
  <c r="E23" i="3" s="1"/>
  <c r="A23" i="9" s="1"/>
  <c r="AN78" i="2"/>
  <c r="AR78" i="2" s="1"/>
  <c r="M28" i="18"/>
  <c r="H21" i="18"/>
  <c r="B20" i="6"/>
  <c r="E20" i="6" s="1"/>
  <c r="A20" i="10" s="1"/>
  <c r="B19" i="6"/>
  <c r="E19" i="6" s="1"/>
  <c r="A19" i="10" s="1"/>
  <c r="AN44" i="2"/>
  <c r="AR44" i="2" s="1"/>
  <c r="AN76" i="2"/>
  <c r="AR76" i="2" s="1"/>
  <c r="AN79" i="2"/>
  <c r="AR79" i="2" s="1"/>
  <c r="C20" i="3"/>
  <c r="F20" i="3" s="1"/>
  <c r="B20" i="9" s="1"/>
  <c r="I25" i="18"/>
  <c r="AN82" i="2"/>
  <c r="AR82" i="2" s="1"/>
  <c r="H27" i="18"/>
  <c r="AN70" i="2"/>
  <c r="AR70" i="2" s="1"/>
  <c r="AN75" i="2"/>
  <c r="AR75" i="2" s="1"/>
  <c r="I15" i="18"/>
  <c r="C15" i="3"/>
  <c r="F15" i="3" s="1"/>
  <c r="B15" i="9" s="1"/>
  <c r="I14" i="18"/>
  <c r="N10" i="18"/>
  <c r="H7" i="18"/>
  <c r="F97" i="2"/>
  <c r="H29" i="18"/>
  <c r="F119" i="2"/>
  <c r="I6" i="18"/>
  <c r="G96" i="2"/>
  <c r="B16" i="3"/>
  <c r="E16" i="3" s="1"/>
  <c r="A16" i="9" s="1"/>
  <c r="F109" i="2"/>
  <c r="I19" i="18"/>
  <c r="G109" i="2"/>
  <c r="H20" i="18"/>
  <c r="F110" i="2"/>
  <c r="H10" i="18"/>
  <c r="F100" i="2"/>
  <c r="C5" i="3"/>
  <c r="F5" i="3" s="1"/>
  <c r="B5" i="9" s="1"/>
  <c r="G98" i="2"/>
  <c r="C13" i="3"/>
  <c r="F13" i="3" s="1"/>
  <c r="B13" i="9" s="1"/>
  <c r="G106" i="2"/>
  <c r="B6" i="3"/>
  <c r="E6" i="3" s="1"/>
  <c r="A6" i="9" s="1"/>
  <c r="F99" i="2"/>
  <c r="B27" i="3"/>
  <c r="E27" i="3" s="1"/>
  <c r="A27" i="9" s="1"/>
  <c r="F120" i="2"/>
  <c r="I4" i="18"/>
  <c r="G94" i="2"/>
  <c r="B12" i="3"/>
  <c r="E12" i="3" s="1"/>
  <c r="A12" i="9" s="1"/>
  <c r="F122" i="2"/>
  <c r="M4" i="18"/>
  <c r="B1" i="6"/>
  <c r="E1" i="6" s="1"/>
  <c r="A1" i="10" s="1"/>
  <c r="B9" i="6"/>
  <c r="E9" i="6" s="1"/>
  <c r="A9" i="10" s="1"/>
  <c r="M12" i="18"/>
  <c r="M13" i="18"/>
  <c r="B10" i="6"/>
  <c r="E10" i="6" s="1"/>
  <c r="A10" i="10" s="1"/>
  <c r="C1" i="3"/>
  <c r="F1" i="3" s="1"/>
  <c r="B1" i="9" s="1"/>
  <c r="I31" i="18"/>
  <c r="G121" i="2"/>
  <c r="B13" i="3"/>
  <c r="E13" i="3" s="1"/>
  <c r="A13" i="9" s="1"/>
  <c r="F106" i="2"/>
  <c r="C2" i="3"/>
  <c r="F2" i="3" s="1"/>
  <c r="B2" i="9" s="1"/>
  <c r="G95" i="2"/>
  <c r="C19" i="3"/>
  <c r="F19" i="3" s="1"/>
  <c r="B19" i="9" s="1"/>
  <c r="G112" i="2"/>
  <c r="C10" i="3"/>
  <c r="F10" i="3" s="1"/>
  <c r="B10" i="9" s="1"/>
  <c r="G103" i="2"/>
  <c r="B2" i="3"/>
  <c r="E2" i="3" s="1"/>
  <c r="A2" i="9" s="1"/>
  <c r="F95" i="2"/>
  <c r="C21" i="3"/>
  <c r="F21" i="3" s="1"/>
  <c r="B21" i="9" s="1"/>
  <c r="G114" i="2"/>
  <c r="B21" i="3"/>
  <c r="E21" i="3" s="1"/>
  <c r="A21" i="9" s="1"/>
  <c r="F114" i="2"/>
  <c r="C26" i="3"/>
  <c r="F26" i="3" s="1"/>
  <c r="B26" i="9" s="1"/>
  <c r="G119" i="2"/>
  <c r="C23" i="3"/>
  <c r="F23" i="3" s="1"/>
  <c r="B23" i="9" s="1"/>
  <c r="G116" i="2"/>
  <c r="C18" i="3"/>
  <c r="F18" i="3" s="1"/>
  <c r="B18" i="9" s="1"/>
  <c r="G111" i="2"/>
  <c r="N12" i="18"/>
  <c r="C9" i="6"/>
  <c r="F9" i="6" s="1"/>
  <c r="B9" i="10" s="1"/>
  <c r="B8" i="6"/>
  <c r="E8" i="6" s="1"/>
  <c r="A8" i="10" s="1"/>
  <c r="M11" i="18"/>
  <c r="M8" i="18"/>
  <c r="B5" i="6"/>
  <c r="E5" i="6" s="1"/>
  <c r="A5" i="10" s="1"/>
  <c r="C8" i="6"/>
  <c r="F8" i="6" s="1"/>
  <c r="B8" i="10" s="1"/>
  <c r="N11" i="18"/>
  <c r="AX36" i="2"/>
  <c r="G107" i="2" s="1"/>
  <c r="R28" i="18"/>
  <c r="J118" i="2"/>
  <c r="W28" i="18" s="1"/>
  <c r="R22" i="18"/>
  <c r="J112" i="2"/>
  <c r="W22" i="18" s="1"/>
  <c r="S22" i="18"/>
  <c r="K112" i="2"/>
  <c r="X22" i="18" s="1"/>
  <c r="S18" i="18"/>
  <c r="K108" i="2"/>
  <c r="X18" i="18" s="1"/>
  <c r="S26" i="18"/>
  <c r="K116" i="2"/>
  <c r="X26" i="18" s="1"/>
  <c r="R26" i="18"/>
  <c r="J116" i="2"/>
  <c r="W26" i="18" s="1"/>
  <c r="R21" i="18"/>
  <c r="J111" i="2"/>
  <c r="W21" i="18" s="1"/>
  <c r="S25" i="18"/>
  <c r="K115" i="2"/>
  <c r="X25" i="18" s="1"/>
  <c r="S24" i="18"/>
  <c r="K114" i="2"/>
  <c r="X24" i="18" s="1"/>
  <c r="R18" i="18"/>
  <c r="J108" i="2"/>
  <c r="W18" i="18" s="1"/>
  <c r="R31" i="18"/>
  <c r="J121" i="2"/>
  <c r="W31" i="18" s="1"/>
  <c r="S29" i="18"/>
  <c r="K119" i="2"/>
  <c r="X29" i="18" s="1"/>
  <c r="S27" i="18"/>
  <c r="K117" i="2"/>
  <c r="X27" i="18" s="1"/>
  <c r="S31" i="18"/>
  <c r="K121" i="2"/>
  <c r="X31" i="18" s="1"/>
  <c r="R20" i="18"/>
  <c r="J110" i="2"/>
  <c r="W20" i="18" s="1"/>
  <c r="R25" i="18"/>
  <c r="J115" i="2"/>
  <c r="W25" i="18" s="1"/>
  <c r="S30" i="18"/>
  <c r="K120" i="2"/>
  <c r="X30" i="18" s="1"/>
  <c r="S19" i="18"/>
  <c r="K109" i="2"/>
  <c r="X19" i="18" s="1"/>
  <c r="R27" i="18"/>
  <c r="J117" i="2"/>
  <c r="W27" i="18" s="1"/>
  <c r="S23" i="18"/>
  <c r="K113" i="2"/>
  <c r="X23" i="18" s="1"/>
  <c r="R19" i="18"/>
  <c r="J109" i="2"/>
  <c r="W19" i="18" s="1"/>
  <c r="R23" i="18"/>
  <c r="J113" i="2"/>
  <c r="W23" i="18" s="1"/>
  <c r="S21" i="18"/>
  <c r="K111" i="2"/>
  <c r="X21" i="18" s="1"/>
  <c r="R30" i="18"/>
  <c r="J120" i="2"/>
  <c r="W30" i="18" s="1"/>
  <c r="R24" i="18"/>
  <c r="J114" i="2"/>
  <c r="W24" i="18" s="1"/>
  <c r="R29" i="18"/>
  <c r="J119" i="2"/>
  <c r="W29" i="18" s="1"/>
  <c r="S20" i="18"/>
  <c r="K110" i="2"/>
  <c r="X20" i="18" s="1"/>
  <c r="S28" i="18"/>
  <c r="K118" i="2"/>
  <c r="X28" i="18" s="1"/>
  <c r="I26" i="18"/>
  <c r="AW36" i="2"/>
  <c r="F107" i="2" s="1"/>
  <c r="M26" i="18"/>
  <c r="H30" i="18"/>
  <c r="I8" i="18"/>
  <c r="I29" i="18"/>
  <c r="N30" i="18"/>
  <c r="M21" i="18"/>
  <c r="I13" i="18"/>
  <c r="I22" i="18"/>
  <c r="B26" i="3"/>
  <c r="E26" i="3" s="1"/>
  <c r="A26" i="9" s="1"/>
  <c r="B7" i="3"/>
  <c r="E7" i="3" s="1"/>
  <c r="A7" i="9" s="1"/>
  <c r="C12" i="6"/>
  <c r="F12" i="6" s="1"/>
  <c r="B12" i="10" s="1"/>
  <c r="N23" i="18"/>
  <c r="I24" i="18"/>
  <c r="H5" i="18"/>
  <c r="H24" i="18"/>
  <c r="I5" i="18"/>
  <c r="N18" i="18"/>
  <c r="B3" i="6"/>
  <c r="E3" i="6" s="1"/>
  <c r="A3" i="10" s="1"/>
  <c r="AM61" i="2"/>
  <c r="AQ61" i="2" s="1"/>
  <c r="AN74" i="2"/>
  <c r="AR74" i="2" s="1"/>
  <c r="AI83" i="2"/>
  <c r="AJ83" i="2" s="1"/>
  <c r="AK83" i="2" s="1"/>
  <c r="AL83" i="2" s="1"/>
  <c r="AM83" i="2" s="1"/>
  <c r="AQ83" i="2" s="1"/>
  <c r="AI72" i="2"/>
  <c r="AJ72" i="2" s="1"/>
  <c r="AK72" i="2" s="1"/>
  <c r="AL72" i="2" s="1"/>
  <c r="AN72" i="2" s="1"/>
  <c r="AR72" i="2" s="1"/>
  <c r="AI81" i="2"/>
  <c r="AJ81" i="2" s="1"/>
  <c r="AK81" i="2" s="1"/>
  <c r="AL81" i="2" s="1"/>
  <c r="AM81" i="2" s="1"/>
  <c r="AQ81" i="2" s="1"/>
  <c r="AI77" i="2"/>
  <c r="AJ77" i="2" s="1"/>
  <c r="AK77" i="2" s="1"/>
  <c r="AL77" i="2" s="1"/>
  <c r="AM77" i="2" s="1"/>
  <c r="AQ77" i="2" s="1"/>
  <c r="C3" i="3"/>
  <c r="F3" i="3" s="1"/>
  <c r="B3" i="9" s="1"/>
  <c r="B4" i="3"/>
  <c r="E4" i="3" s="1"/>
  <c r="A4" i="9" s="1"/>
  <c r="AN41" i="2"/>
  <c r="AR41" i="2" s="1"/>
  <c r="H16" i="18"/>
  <c r="C28" i="3"/>
  <c r="F28" i="3" s="1"/>
  <c r="B28" i="9" s="1"/>
  <c r="AM37" i="2"/>
  <c r="AQ37" i="2" s="1"/>
  <c r="I10" i="18"/>
  <c r="C7" i="3"/>
  <c r="F7" i="3" s="1"/>
  <c r="B7" i="9" s="1"/>
  <c r="AN38" i="2"/>
  <c r="AR38" i="2" s="1"/>
  <c r="AN50" i="2"/>
  <c r="AR50" i="2" s="1"/>
  <c r="X52" i="18" l="1"/>
  <c r="S52" i="18"/>
  <c r="W50" i="18"/>
  <c r="R50" i="18"/>
  <c r="R51" i="18"/>
  <c r="W51" i="18"/>
  <c r="C1" i="6"/>
  <c r="F1" i="6" s="1"/>
  <c r="B1" i="10" s="1"/>
  <c r="N4" i="18"/>
  <c r="G122" i="2"/>
  <c r="M30" i="18"/>
  <c r="B27" i="6"/>
  <c r="E27" i="6" s="1"/>
  <c r="A27" i="10" s="1"/>
  <c r="M9" i="18"/>
  <c r="B6" i="6"/>
  <c r="E6" i="6" s="1"/>
  <c r="A6" i="10" s="1"/>
  <c r="N16" i="18"/>
  <c r="C13" i="6"/>
  <c r="F13" i="6" s="1"/>
  <c r="B13" i="10" s="1"/>
  <c r="N8" i="18"/>
  <c r="C5" i="6"/>
  <c r="F5" i="6" s="1"/>
  <c r="B5" i="10" s="1"/>
  <c r="M10" i="18"/>
  <c r="B7" i="6"/>
  <c r="E7" i="6" s="1"/>
  <c r="A7" i="10" s="1"/>
  <c r="B17" i="6"/>
  <c r="E17" i="6" s="1"/>
  <c r="A17" i="10" s="1"/>
  <c r="M20" i="18"/>
  <c r="C16" i="6"/>
  <c r="F16" i="6" s="1"/>
  <c r="B16" i="10" s="1"/>
  <c r="N19" i="18"/>
  <c r="M19" i="18"/>
  <c r="B16" i="6"/>
  <c r="E16" i="6" s="1"/>
  <c r="A16" i="10" s="1"/>
  <c r="C3" i="6"/>
  <c r="F3" i="6" s="1"/>
  <c r="B3" i="10" s="1"/>
  <c r="N6" i="18"/>
  <c r="M29" i="18"/>
  <c r="B26" i="6"/>
  <c r="E26" i="6" s="1"/>
  <c r="A26" i="10" s="1"/>
  <c r="B4" i="6"/>
  <c r="E4" i="6" s="1"/>
  <c r="A4" i="10" s="1"/>
  <c r="M7" i="18"/>
  <c r="C18" i="6"/>
  <c r="F18" i="6" s="1"/>
  <c r="B18" i="10" s="1"/>
  <c r="N21" i="18"/>
  <c r="C23" i="6"/>
  <c r="F23" i="6" s="1"/>
  <c r="B23" i="10" s="1"/>
  <c r="N26" i="18"/>
  <c r="C26" i="6"/>
  <c r="F26" i="6" s="1"/>
  <c r="B26" i="10" s="1"/>
  <c r="N29" i="18"/>
  <c r="B21" i="6"/>
  <c r="E21" i="6" s="1"/>
  <c r="A21" i="10" s="1"/>
  <c r="M24" i="18"/>
  <c r="N24" i="18"/>
  <c r="C21" i="6"/>
  <c r="F21" i="6" s="1"/>
  <c r="B21" i="10" s="1"/>
  <c r="M5" i="18"/>
  <c r="B2" i="6"/>
  <c r="E2" i="6" s="1"/>
  <c r="A2" i="10" s="1"/>
  <c r="C10" i="6"/>
  <c r="F10" i="6" s="1"/>
  <c r="B10" i="10" s="1"/>
  <c r="N13" i="18"/>
  <c r="C19" i="6"/>
  <c r="F19" i="6" s="1"/>
  <c r="B19" i="10" s="1"/>
  <c r="N22" i="18"/>
  <c r="C2" i="6"/>
  <c r="F2" i="6" s="1"/>
  <c r="B2" i="10" s="1"/>
  <c r="N5" i="18"/>
  <c r="M16" i="18"/>
  <c r="B13" i="6"/>
  <c r="E13" i="6" s="1"/>
  <c r="A13" i="10" s="1"/>
  <c r="C28" i="6"/>
  <c r="F28" i="6" s="1"/>
  <c r="B28" i="10" s="1"/>
  <c r="N31" i="18"/>
  <c r="C14" i="3"/>
  <c r="F14" i="3" s="1"/>
  <c r="B14" i="9" s="1"/>
  <c r="I17" i="18"/>
  <c r="I52" i="18" s="1"/>
  <c r="N17" i="18"/>
  <c r="C14" i="6"/>
  <c r="F14" i="6" s="1"/>
  <c r="B14" i="10" s="1"/>
  <c r="B14" i="3"/>
  <c r="E14" i="3" s="1"/>
  <c r="A14" i="9" s="1"/>
  <c r="H17" i="18"/>
  <c r="H51" i="18" s="1"/>
  <c r="B14" i="6"/>
  <c r="E14" i="6" s="1"/>
  <c r="A14" i="10" s="1"/>
  <c r="M17" i="18"/>
  <c r="AN77" i="2"/>
  <c r="AR77" i="2" s="1"/>
  <c r="AM72" i="2"/>
  <c r="AQ72" i="2" s="1"/>
  <c r="AN81" i="2"/>
  <c r="AR81" i="2" s="1"/>
  <c r="AN83" i="2"/>
  <c r="AR83" i="2" s="1"/>
  <c r="N52" i="18" l="1"/>
  <c r="M50" i="18"/>
  <c r="H50" i="18"/>
  <c r="M51" i="18"/>
  <c r="H55" i="18" s="1"/>
  <c r="J26" i="4" s="1"/>
  <c r="H56" i="18" l="1"/>
  <c r="J27" i="4" s="1"/>
  <c r="H54" i="18"/>
  <c r="J25" i="4" s="1"/>
</calcChain>
</file>

<file path=xl/sharedStrings.xml><?xml version="1.0" encoding="utf-8"?>
<sst xmlns="http://schemas.openxmlformats.org/spreadsheetml/2006/main" count="572" uniqueCount="255">
  <si>
    <t>Horizontal Coordinates</t>
  </si>
  <si>
    <t>Vehicle Type</t>
  </si>
  <si>
    <t>Max</t>
  </si>
  <si>
    <t>Narrow Non-Electric</t>
  </si>
  <si>
    <t>Narrow Square</t>
  </si>
  <si>
    <t>Narrow Container</t>
  </si>
  <si>
    <t>Narrow Hopper</t>
  </si>
  <si>
    <t>Double Stack</t>
  </si>
  <si>
    <t>Narrow Electric</t>
  </si>
  <si>
    <t>Medium Electric</t>
  </si>
  <si>
    <t>Extended Medium</t>
  </si>
  <si>
    <t>Wide Electric</t>
  </si>
  <si>
    <t>Out of Gauge Load</t>
  </si>
  <si>
    <t>NZZA Wagon</t>
  </si>
  <si>
    <t>Vertical Coordinates</t>
  </si>
  <si>
    <t>Vehicle</t>
  </si>
  <si>
    <t>Point</t>
  </si>
  <si>
    <t>X</t>
  </si>
  <si>
    <t>Y</t>
  </si>
  <si>
    <t>Superelevation</t>
  </si>
  <si>
    <t>Sleeper</t>
  </si>
  <si>
    <t>Wooden</t>
  </si>
  <si>
    <t>Concrete</t>
  </si>
  <si>
    <t>Slab Track</t>
  </si>
  <si>
    <t>Lateral Tangent Tolerance</t>
  </si>
  <si>
    <t>Lateral Curve Tolerance</t>
  </si>
  <si>
    <t>Curve Radius</t>
  </si>
  <si>
    <t>Bogie Centres</t>
  </si>
  <si>
    <t>Vehicle Length</t>
  </si>
  <si>
    <t>Body Overhang</t>
  </si>
  <si>
    <t>Vehicle Width</t>
  </si>
  <si>
    <t>Centre Throw</t>
  </si>
  <si>
    <t>End Throw</t>
  </si>
  <si>
    <t>Pivot Height</t>
  </si>
  <si>
    <t>R</t>
  </si>
  <si>
    <t>θ (radians)</t>
  </si>
  <si>
    <t>θ (degrees)</t>
  </si>
  <si>
    <t>x</t>
  </si>
  <si>
    <t>y</t>
  </si>
  <si>
    <t>RHR</t>
  </si>
  <si>
    <t>LHR</t>
  </si>
  <si>
    <t>Maximum Rolling Stock (NSW)</t>
  </si>
  <si>
    <t>Pivot</t>
  </si>
  <si>
    <t>OUTSIDE HALF</t>
  </si>
  <si>
    <t>INSIDE HALF</t>
  </si>
  <si>
    <t>Superelevation (Cant) Tolerance</t>
  </si>
  <si>
    <t>Lateral Track Tolerance</t>
  </si>
  <si>
    <t>Centre / End Throw</t>
  </si>
  <si>
    <t>Maximum Vehicle Body Roll</t>
  </si>
  <si>
    <t>Bounce</t>
  </si>
  <si>
    <t>General</t>
  </si>
  <si>
    <r>
      <t>X</t>
    </r>
    <r>
      <rPr>
        <b/>
        <vertAlign val="subscript"/>
        <sz val="9"/>
        <color indexed="8"/>
        <rFont val="Arial"/>
        <family val="2"/>
      </rPr>
      <t>1</t>
    </r>
  </si>
  <si>
    <r>
      <t>Y</t>
    </r>
    <r>
      <rPr>
        <b/>
        <vertAlign val="subscript"/>
        <sz val="9"/>
        <color indexed="8"/>
        <rFont val="Arial"/>
        <family val="2"/>
      </rPr>
      <t>1</t>
    </r>
  </si>
  <si>
    <r>
      <t>∆ X</t>
    </r>
    <r>
      <rPr>
        <b/>
        <vertAlign val="subscript"/>
        <sz val="9"/>
        <color indexed="8"/>
        <rFont val="Arial"/>
        <family val="2"/>
      </rPr>
      <t>1</t>
    </r>
  </si>
  <si>
    <r>
      <t>∆ Y</t>
    </r>
    <r>
      <rPr>
        <b/>
        <vertAlign val="subscript"/>
        <sz val="9"/>
        <color indexed="8"/>
        <rFont val="Arial"/>
        <family val="2"/>
      </rPr>
      <t>1</t>
    </r>
  </si>
  <si>
    <r>
      <t>X</t>
    </r>
    <r>
      <rPr>
        <b/>
        <vertAlign val="subscript"/>
        <sz val="9"/>
        <color indexed="8"/>
        <rFont val="Arial"/>
        <family val="2"/>
      </rPr>
      <t>2</t>
    </r>
  </si>
  <si>
    <r>
      <t>Y</t>
    </r>
    <r>
      <rPr>
        <b/>
        <vertAlign val="subscript"/>
        <sz val="9"/>
        <color indexed="8"/>
        <rFont val="Arial"/>
        <family val="2"/>
      </rPr>
      <t>2</t>
    </r>
  </si>
  <si>
    <r>
      <t>X</t>
    </r>
    <r>
      <rPr>
        <b/>
        <vertAlign val="subscript"/>
        <sz val="9"/>
        <color indexed="8"/>
        <rFont val="Arial"/>
        <family val="2"/>
      </rPr>
      <t>3</t>
    </r>
  </si>
  <si>
    <r>
      <t>Y</t>
    </r>
    <r>
      <rPr>
        <b/>
        <vertAlign val="subscript"/>
        <sz val="9"/>
        <color indexed="8"/>
        <rFont val="Arial"/>
        <family val="2"/>
      </rPr>
      <t>3</t>
    </r>
  </si>
  <si>
    <r>
      <t>X</t>
    </r>
    <r>
      <rPr>
        <b/>
        <vertAlign val="subscript"/>
        <sz val="9"/>
        <color indexed="8"/>
        <rFont val="Arial"/>
        <family val="2"/>
      </rPr>
      <t>4</t>
    </r>
  </si>
  <si>
    <r>
      <t>Y</t>
    </r>
    <r>
      <rPr>
        <b/>
        <vertAlign val="subscript"/>
        <sz val="9"/>
        <color indexed="8"/>
        <rFont val="Arial"/>
        <family val="2"/>
      </rPr>
      <t>4</t>
    </r>
  </si>
  <si>
    <r>
      <t>X</t>
    </r>
    <r>
      <rPr>
        <b/>
        <vertAlign val="subscript"/>
        <sz val="9"/>
        <color indexed="8"/>
        <rFont val="Arial"/>
        <family val="2"/>
      </rPr>
      <t>5</t>
    </r>
  </si>
  <si>
    <r>
      <t>Y</t>
    </r>
    <r>
      <rPr>
        <b/>
        <vertAlign val="subscript"/>
        <sz val="9"/>
        <color indexed="8"/>
        <rFont val="Arial"/>
        <family val="2"/>
      </rPr>
      <t>5</t>
    </r>
  </si>
  <si>
    <r>
      <t>X</t>
    </r>
    <r>
      <rPr>
        <b/>
        <vertAlign val="subscript"/>
        <sz val="9"/>
        <color indexed="8"/>
        <rFont val="Arial"/>
        <family val="2"/>
      </rPr>
      <t>p</t>
    </r>
  </si>
  <si>
    <r>
      <t>Y</t>
    </r>
    <r>
      <rPr>
        <b/>
        <vertAlign val="subscript"/>
        <sz val="9"/>
        <color indexed="8"/>
        <rFont val="Arial"/>
        <family val="2"/>
      </rPr>
      <t>p</t>
    </r>
  </si>
  <si>
    <r>
      <t>X</t>
    </r>
    <r>
      <rPr>
        <b/>
        <vertAlign val="subscript"/>
        <sz val="9"/>
        <color indexed="8"/>
        <rFont val="Arial"/>
        <family val="2"/>
      </rPr>
      <t>6</t>
    </r>
  </si>
  <si>
    <r>
      <t>Y</t>
    </r>
    <r>
      <rPr>
        <b/>
        <vertAlign val="subscript"/>
        <sz val="9"/>
        <color indexed="8"/>
        <rFont val="Arial"/>
        <family val="2"/>
      </rPr>
      <t>6</t>
    </r>
  </si>
  <si>
    <r>
      <t>X</t>
    </r>
    <r>
      <rPr>
        <b/>
        <vertAlign val="subscript"/>
        <sz val="9"/>
        <color indexed="8"/>
        <rFont val="Arial"/>
        <family val="2"/>
      </rPr>
      <t>7</t>
    </r>
  </si>
  <si>
    <r>
      <t>Y</t>
    </r>
    <r>
      <rPr>
        <b/>
        <vertAlign val="subscript"/>
        <sz val="9"/>
        <color indexed="8"/>
        <rFont val="Arial"/>
        <family val="2"/>
      </rPr>
      <t>7</t>
    </r>
  </si>
  <si>
    <t>Rail Centres</t>
  </si>
  <si>
    <t>x'</t>
  </si>
  <si>
    <t>y'</t>
  </si>
  <si>
    <t>Maximum Container Loading (3010mm)</t>
  </si>
  <si>
    <t>Structure Gauge</t>
  </si>
  <si>
    <t>Kinematic Envelope Calculator</t>
  </si>
  <si>
    <t>Rail Wear (Lateral)</t>
  </si>
  <si>
    <t>Diff from design (Vertical)</t>
  </si>
  <si>
    <t>mm</t>
  </si>
  <si>
    <t>Vertical Track Tolerance</t>
  </si>
  <si>
    <t>m</t>
  </si>
  <si>
    <t>Intersystem</t>
  </si>
  <si>
    <t>Information</t>
  </si>
  <si>
    <t>This spreadsheet was created following the steps listed in ARTC's Engineering Standard BDS 13 "Application of Kinematic Envelope"</t>
  </si>
  <si>
    <t>Tolerance values and rolling stock static outlines were obtained from RailCorp Engineering Standard Transit Space ESC 15</t>
  </si>
  <si>
    <t>The two kinematic envelopes created (labelled as "KE 1" and "KE 2") are designed to cover the worst case scenario; KE 1 is with vehicle bounce included and positive vertical design difference while KE 2 is with no vehicle bounce included and negative vertical design difference included. It has been assumed that these two profiles will together create the worst case scenrio kinematic envelope.</t>
  </si>
  <si>
    <t xml:space="preserve">When there is no applied superelevation </t>
  </si>
  <si>
    <t>xy=</t>
  </si>
  <si>
    <t xml:space="preserve">CURVE RADIUS = </t>
  </si>
  <si>
    <t xml:space="preserve">SLEEPER = </t>
  </si>
  <si>
    <t xml:space="preserve">VEHICLE = </t>
  </si>
  <si>
    <t xml:space="preserve">SUPERELEVATION = </t>
  </si>
  <si>
    <t xml:space="preserve">SUPER VARIANCE = </t>
  </si>
  <si>
    <t xml:space="preserve">MISALIGNMENT = </t>
  </si>
  <si>
    <t xml:space="preserve">LATERAL DISPLACEMENT = </t>
  </si>
  <si>
    <t xml:space="preserve">CENTRE THROW = </t>
  </si>
  <si>
    <t xml:space="preserve">END THROW = </t>
  </si>
  <si>
    <t xml:space="preserve">BODY ROLL = </t>
  </si>
  <si>
    <t>DEGREES</t>
  </si>
  <si>
    <t xml:space="preserve">VEHICLE BOUNCE = </t>
  </si>
  <si>
    <t xml:space="preserve">RAIL WEAR = </t>
  </si>
  <si>
    <t xml:space="preserve">VERTICAL TRACK TOLERANCE = </t>
  </si>
  <si>
    <t>Tangent</t>
  </si>
  <si>
    <t>Static</t>
  </si>
  <si>
    <t>RailCorp</t>
  </si>
  <si>
    <t>ARTC</t>
  </si>
  <si>
    <t xml:space="preserve">STANDARD = </t>
  </si>
  <si>
    <t>Track Gauge</t>
  </si>
  <si>
    <t>Calculated</t>
  </si>
  <si>
    <t>Superelevation at Running Edge</t>
  </si>
  <si>
    <t>Rotation Angle due to Super</t>
  </si>
  <si>
    <t>rads</t>
  </si>
  <si>
    <t>deg</t>
  </si>
  <si>
    <t>α (rads)</t>
  </si>
  <si>
    <t>α (deg)</t>
  </si>
  <si>
    <t>θ (rads)</t>
  </si>
  <si>
    <t>θ (deg)</t>
  </si>
  <si>
    <t>θ' (deg)</t>
  </si>
  <si>
    <t>θ' (rads)</t>
  </si>
  <si>
    <t>Inputs</t>
  </si>
  <si>
    <t>Rolling Stock</t>
  </si>
  <si>
    <t>Track Constants</t>
  </si>
  <si>
    <t>Rolling Stock Constants</t>
  </si>
  <si>
    <t>Lateral Tolerance (Curve)</t>
  </si>
  <si>
    <t>Lateral Tolerance (Tang.)</t>
  </si>
  <si>
    <t>Super Tolerance</t>
  </si>
  <si>
    <t>Rolling Stock Lateral Tolerance</t>
  </si>
  <si>
    <t>Max. Body Roll</t>
  </si>
  <si>
    <t>rad</t>
  </si>
  <si>
    <t>∆X (mm)</t>
  </si>
  <si>
    <t>∆Y (mm)</t>
  </si>
  <si>
    <t xml:space="preserve">Rotation Angle due to Super Tol. </t>
  </si>
  <si>
    <t>Curve Type</t>
  </si>
  <si>
    <t>Lateral Rail Wear</t>
  </si>
  <si>
    <t>LEFT</t>
  </si>
  <si>
    <t>RIGHT</t>
  </si>
  <si>
    <t>Resultant</t>
  </si>
  <si>
    <t>Lateral Rail Tolerance</t>
  </si>
  <si>
    <t>Profile Type</t>
  </si>
  <si>
    <t>Sleeper Type</t>
  </si>
  <si>
    <t>Zero Super</t>
  </si>
  <si>
    <t>Low Rail Left</t>
  </si>
  <si>
    <t>Low Rail Right</t>
  </si>
  <si>
    <t>Low Rail</t>
  </si>
  <si>
    <t>x-value of low rail</t>
  </si>
  <si>
    <t>y-value of low rail</t>
  </si>
  <si>
    <t>Super Tolerance at Running Edge</t>
  </si>
  <si>
    <t>Half Vehicle Height</t>
  </si>
  <si>
    <t>Vehicle Tolerance (Lateral Track + Bogie Wear)</t>
  </si>
  <si>
    <r>
      <t>X</t>
    </r>
    <r>
      <rPr>
        <b/>
        <vertAlign val="subscript"/>
        <sz val="9"/>
        <color indexed="8"/>
        <rFont val="Arial"/>
        <family val="2"/>
      </rPr>
      <t>6 old</t>
    </r>
  </si>
  <si>
    <r>
      <t>Y</t>
    </r>
    <r>
      <rPr>
        <b/>
        <vertAlign val="subscript"/>
        <sz val="9"/>
        <color indexed="8"/>
        <rFont val="Arial"/>
        <family val="2"/>
      </rPr>
      <t>6 old</t>
    </r>
  </si>
  <si>
    <t>To Plot</t>
  </si>
  <si>
    <t>Rails</t>
  </si>
  <si>
    <t>Centreline</t>
  </si>
  <si>
    <t>Base</t>
  </si>
  <si>
    <t>Top</t>
  </si>
  <si>
    <t>Super Tolerance Case Generation</t>
  </si>
  <si>
    <t>Z</t>
  </si>
  <si>
    <t>Text</t>
  </si>
  <si>
    <t>Curve Direction</t>
  </si>
  <si>
    <t>Left fixed, +10</t>
  </si>
  <si>
    <t>Left fixed, -10</t>
  </si>
  <si>
    <t>Right fixed, +10</t>
  </si>
  <si>
    <t>Right fixed, -10</t>
  </si>
  <si>
    <t>Version</t>
  </si>
  <si>
    <t>ANZR</t>
  </si>
  <si>
    <t>Track Type</t>
  </si>
  <si>
    <t>Plain Line</t>
  </si>
  <si>
    <t>Vertical Track Tolerance (Positive)</t>
  </si>
  <si>
    <t>Vertical Track Tolerance (Negative)</t>
  </si>
  <si>
    <t>Positive Vertical Track Tolerance</t>
  </si>
  <si>
    <t>Negative Vertical Track Tolerance</t>
  </si>
  <si>
    <t>Vertical Tolerance (+ve)</t>
  </si>
  <si>
    <t>Vertical Tolerance (-ve)</t>
  </si>
  <si>
    <t>Vehicle Characteristics</t>
  </si>
  <si>
    <t>Length</t>
  </si>
  <si>
    <t>Width</t>
  </si>
  <si>
    <t>Lateral Tolerance</t>
  </si>
  <si>
    <t>Maximum Body Roll (deg)</t>
  </si>
  <si>
    <t>Platform (New Construction) - Standard Access</t>
  </si>
  <si>
    <t>Platform (New Construction)  - Level Access</t>
  </si>
  <si>
    <t>Platform (Maintenance Works) - Standard Access</t>
  </si>
  <si>
    <t>Platform (Maintenance Works) - Level Access</t>
  </si>
  <si>
    <t>RailCorp - Platform-Specific Tolerances</t>
  </si>
  <si>
    <t xml:space="preserve">Track Type (RailCorp Only)  </t>
  </si>
  <si>
    <t>Static Envelope</t>
  </si>
  <si>
    <t>KE1 (Body Roll, Positive TT)</t>
  </si>
  <si>
    <t>KE2 (Bounce Positive TT)</t>
  </si>
  <si>
    <t>KE3 (Body Roll Negative TT)</t>
  </si>
  <si>
    <t>Vertical Track Tolerance On</t>
  </si>
  <si>
    <t>Magenta Profile = +ve Track Tolerance inc. Vehicle Bounce</t>
  </si>
  <si>
    <t>Light Blue Profile = -ve Track Tolerance, +all except Vehicle Bounce</t>
  </si>
  <si>
    <t>Orange Profile = -ve Track Tolerance inc. Vehicle Bounce</t>
  </si>
  <si>
    <t>KE4 (Bounce, Negative TT)</t>
  </si>
  <si>
    <t>Red Profile = +ve Track Tolerance, +all except Vehicle Bounce</t>
  </si>
  <si>
    <t>Date Modified</t>
  </si>
  <si>
    <t>Sheet</t>
  </si>
  <si>
    <t>By</t>
  </si>
  <si>
    <t>MB</t>
  </si>
  <si>
    <t>Mermec MTP Vehicle</t>
  </si>
  <si>
    <t>Max. Right</t>
  </si>
  <si>
    <t>Max. Left</t>
  </si>
  <si>
    <t xml:space="preserve">Maximum Y Value (All Kes): </t>
  </si>
  <si>
    <t>Max. Right (All Kes)</t>
  </si>
  <si>
    <t>Max. Left (All Kes)</t>
  </si>
  <si>
    <t xml:space="preserve">Max Vert. </t>
  </si>
  <si>
    <t>Max. Vert (All Kes)</t>
  </si>
  <si>
    <t>Structure Gauge (Left):</t>
  </si>
  <si>
    <t>Structure Gauge (Right):</t>
  </si>
  <si>
    <t>Structure Gauge (Height):</t>
  </si>
  <si>
    <t>Left Structure Gauge</t>
  </si>
  <si>
    <t>Right Structure Gauge</t>
  </si>
  <si>
    <t>Structure Gauge Height</t>
  </si>
  <si>
    <t xml:space="preserve">Platform: </t>
  </si>
  <si>
    <t xml:space="preserve">Platform Side: </t>
  </si>
  <si>
    <t xml:space="preserve">Platform Type: </t>
  </si>
  <si>
    <t xml:space="preserve">Access Type: </t>
  </si>
  <si>
    <t>RailCorp - Platform Clearances</t>
  </si>
  <si>
    <t>Rolling Stock Type</t>
  </si>
  <si>
    <t>K</t>
  </si>
  <si>
    <t>k</t>
  </si>
  <si>
    <t>H (Standard Access)</t>
  </si>
  <si>
    <t>H (Level Access)</t>
  </si>
  <si>
    <t>V (Standard Access)</t>
  </si>
  <si>
    <t>V (Level Access)</t>
  </si>
  <si>
    <t>K:</t>
  </si>
  <si>
    <t>k:</t>
  </si>
  <si>
    <t xml:space="preserve">H: </t>
  </si>
  <si>
    <t xml:space="preserve">V: </t>
  </si>
  <si>
    <t>Horizontal Offset</t>
  </si>
  <si>
    <t xml:space="preserve">Vertical Offset: </t>
  </si>
  <si>
    <t>Side</t>
  </si>
  <si>
    <t>TOC</t>
  </si>
  <si>
    <t>BOC</t>
  </si>
  <si>
    <t>Inset</t>
  </si>
  <si>
    <t>Bottom</t>
  </si>
  <si>
    <t>H Effect due to Radius:</t>
  </si>
  <si>
    <t xml:space="preserve">H Effect due to Super: </t>
  </si>
  <si>
    <t>Platform</t>
  </si>
  <si>
    <t>Draw Platform</t>
  </si>
  <si>
    <t>No</t>
  </si>
  <si>
    <t xml:space="preserve">Draw Design Platform  </t>
  </si>
  <si>
    <t>Yes - Left Side</t>
  </si>
  <si>
    <t>Yes - Right Side</t>
  </si>
  <si>
    <t>Platform Side</t>
  </si>
  <si>
    <t>(Offset from Low Rail Track Centreline)</t>
  </si>
  <si>
    <t>Right Hand Curve</t>
  </si>
  <si>
    <t>Vertical Track Tolerance Off</t>
  </si>
  <si>
    <t>Left Hand Curve</t>
  </si>
  <si>
    <t xml:space="preserve">Max. X Value (Right) (All Kes): </t>
  </si>
  <si>
    <t xml:space="preserve">Min. X Value (Left) (All Kes): </t>
  </si>
  <si>
    <t xml:space="preserve">Des. Platform Coping Offset (H): </t>
  </si>
  <si>
    <t xml:space="preserve">Des. Platform Coping Offset (V): </t>
  </si>
  <si>
    <t>2.3</t>
  </si>
  <si>
    <t>Platform Coping requirements for Worst Case</t>
  </si>
  <si>
    <t>Rolling Stock Outline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</si>
</sst>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0"/>
    <numFmt numFmtId="166" formatCode="0.000000"/>
    <numFmt numFmtId="167" formatCode="0.0000000"/>
    <numFmt numFmtId="168" formatCode="0.0000"/>
    <numFmt numFmtId="169" formatCode="0.0"/>
    <numFmt numFmtId="170" formatCode="&quot;$&quot;#,##0.00"/>
    <numFmt numFmtId="171" formatCode="d/mm/yyyy;@"/>
  </numFmts>
  <fonts count="16" x14ac:knownFonts="1">
    <font>
      <sz val="9"/>
      <color theme="1"/>
      <name val="Arial"/>
      <family val="2"/>
    </font>
    <font>
      <sz val="10"/>
      <name val="Arial"/>
      <family val="2"/>
    </font>
    <font>
      <b/>
      <vertAlign val="subscript"/>
      <sz val="9"/>
      <color indexed="8"/>
      <name val="Arial"/>
      <family val="2"/>
    </font>
    <font>
      <b/>
      <sz val="9"/>
      <color indexed="8"/>
      <name val="Arial"/>
      <family val="2"/>
    </font>
    <font>
      <b/>
      <u/>
      <sz val="16"/>
      <color indexed="8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0"/>
      <color indexed="8"/>
      <name val="Arial"/>
      <family val="2"/>
    </font>
    <font>
      <b/>
      <sz val="9"/>
      <color theme="1"/>
      <name val="Arial"/>
      <family val="2"/>
    </font>
    <font>
      <sz val="9"/>
      <color theme="0" tint="-0.249977111117893"/>
      <name val="Arial"/>
      <family val="2"/>
    </font>
    <font>
      <sz val="9"/>
      <color theme="0" tint="-0.34998626667073579"/>
      <name val="Arial"/>
      <family val="2"/>
    </font>
    <font>
      <sz val="9"/>
      <color theme="0"/>
      <name val="Arial"/>
      <family val="2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2"/>
      </left>
      <right/>
      <top/>
      <bottom/>
      <diagonal/>
    </border>
    <border>
      <left/>
      <right style="medium">
        <color indexed="62"/>
      </right>
      <top/>
      <bottom/>
      <diagonal/>
    </border>
    <border>
      <left style="medium">
        <color indexed="62"/>
      </left>
      <right/>
      <top/>
      <bottom style="medium">
        <color indexed="62"/>
      </bottom>
      <diagonal/>
    </border>
    <border>
      <left/>
      <right/>
      <top/>
      <bottom style="medium">
        <color indexed="62"/>
      </bottom>
      <diagonal/>
    </border>
    <border>
      <left/>
      <right style="medium">
        <color indexed="62"/>
      </right>
      <top/>
      <bottom style="medium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2"/>
      </left>
      <right/>
      <top style="medium">
        <color indexed="62"/>
      </top>
      <bottom/>
      <diagonal/>
    </border>
    <border>
      <left/>
      <right/>
      <top style="medium">
        <color indexed="62"/>
      </top>
      <bottom/>
      <diagonal/>
    </border>
    <border>
      <left/>
      <right style="medium">
        <color indexed="62"/>
      </right>
      <top style="medium">
        <color indexed="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8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/>
    <xf numFmtId="0" fontId="0" fillId="0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/>
    <xf numFmtId="164" fontId="0" fillId="5" borderId="1" xfId="0" applyNumberFormat="1" applyFill="1" applyBorder="1"/>
    <xf numFmtId="164" fontId="0" fillId="2" borderId="1" xfId="0" applyNumberFormat="1" applyFill="1" applyBorder="1"/>
    <xf numFmtId="164" fontId="0" fillId="6" borderId="1" xfId="0" applyNumberFormat="1" applyFill="1" applyBorder="1"/>
    <xf numFmtId="0" fontId="0" fillId="0" borderId="2" xfId="0" applyFill="1" applyBorder="1"/>
    <xf numFmtId="164" fontId="0" fillId="2" borderId="2" xfId="0" applyNumberFormat="1" applyFill="1" applyBorder="1"/>
    <xf numFmtId="164" fontId="0" fillId="6" borderId="2" xfId="0" applyNumberFormat="1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0" fontId="0" fillId="0" borderId="5" xfId="0" applyFill="1" applyBorder="1"/>
    <xf numFmtId="164" fontId="0" fillId="5" borderId="5" xfId="0" applyNumberFormat="1" applyFill="1" applyBorder="1"/>
    <xf numFmtId="164" fontId="0" fillId="2" borderId="5" xfId="0" applyNumberFormat="1" applyFill="1" applyBorder="1"/>
    <xf numFmtId="164" fontId="0" fillId="6" borderId="5" xfId="0" applyNumberFormat="1" applyFill="1" applyBorder="1"/>
    <xf numFmtId="164" fontId="0" fillId="2" borderId="6" xfId="0" applyNumberFormat="1" applyFill="1" applyBorder="1"/>
    <xf numFmtId="0" fontId="0" fillId="0" borderId="5" xfId="0" applyBorder="1"/>
    <xf numFmtId="0" fontId="0" fillId="0" borderId="7" xfId="0" applyFill="1" applyBorder="1"/>
    <xf numFmtId="0" fontId="3" fillId="0" borderId="8" xfId="0" applyFont="1" applyFill="1" applyBorder="1" applyAlignment="1">
      <alignment horizontal="center" vertical="center"/>
    </xf>
    <xf numFmtId="0" fontId="0" fillId="0" borderId="9" xfId="0" applyFill="1" applyBorder="1"/>
    <xf numFmtId="164" fontId="0" fillId="7" borderId="4" xfId="0" applyNumberFormat="1" applyFill="1" applyBorder="1"/>
    <xf numFmtId="164" fontId="0" fillId="7" borderId="6" xfId="0" applyNumberFormat="1" applyFill="1" applyBorder="1"/>
    <xf numFmtId="164" fontId="0" fillId="4" borderId="4" xfId="0" applyNumberFormat="1" applyFill="1" applyBorder="1"/>
    <xf numFmtId="0" fontId="3" fillId="0" borderId="11" xfId="0" applyFont="1" applyFill="1" applyBorder="1" applyAlignment="1">
      <alignment horizontal="center" vertical="center"/>
    </xf>
    <xf numFmtId="164" fontId="0" fillId="5" borderId="12" xfId="0" applyNumberFormat="1" applyFill="1" applyBorder="1"/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165" fontId="0" fillId="2" borderId="1" xfId="0" applyNumberFormat="1" applyFill="1" applyBorder="1"/>
    <xf numFmtId="165" fontId="0" fillId="2" borderId="5" xfId="0" applyNumberFormat="1" applyFill="1" applyBorder="1"/>
    <xf numFmtId="165" fontId="0" fillId="2" borderId="2" xfId="0" applyNumberFormat="1" applyFill="1" applyBorder="1"/>
    <xf numFmtId="164" fontId="0" fillId="7" borderId="1" xfId="0" applyNumberFormat="1" applyFill="1" applyBorder="1"/>
    <xf numFmtId="164" fontId="0" fillId="4" borderId="1" xfId="0" applyNumberFormat="1" applyFill="1" applyBorder="1"/>
    <xf numFmtId="164" fontId="0" fillId="6" borderId="15" xfId="0" applyNumberFormat="1" applyFill="1" applyBorder="1"/>
    <xf numFmtId="164" fontId="0" fillId="6" borderId="16" xfId="0" applyNumberFormat="1" applyFill="1" applyBorder="1"/>
    <xf numFmtId="164" fontId="0" fillId="6" borderId="17" xfId="0" applyNumberFormat="1" applyFill="1" applyBorder="1"/>
    <xf numFmtId="164" fontId="0" fillId="7" borderId="12" xfId="0" applyNumberFormat="1" applyFill="1" applyBorder="1"/>
    <xf numFmtId="164" fontId="0" fillId="4" borderId="12" xfId="0" applyNumberFormat="1" applyFill="1" applyBorder="1"/>
    <xf numFmtId="164" fontId="0" fillId="7" borderId="5" xfId="0" applyNumberFormat="1" applyFill="1" applyBorder="1"/>
    <xf numFmtId="164" fontId="0" fillId="7" borderId="2" xfId="0" applyNumberFormat="1" applyFill="1" applyBorder="1"/>
    <xf numFmtId="164" fontId="0" fillId="4" borderId="2" xfId="0" applyNumberFormat="1" applyFill="1" applyBorder="1"/>
    <xf numFmtId="0" fontId="3" fillId="0" borderId="18" xfId="0" applyFont="1" applyFill="1" applyBorder="1" applyAlignment="1">
      <alignment horizontal="center" vertical="center"/>
    </xf>
    <xf numFmtId="164" fontId="0" fillId="7" borderId="19" xfId="0" applyNumberFormat="1" applyFill="1" applyBorder="1"/>
    <xf numFmtId="164" fontId="0" fillId="4" borderId="20" xfId="0" applyNumberFormat="1" applyFill="1" applyBorder="1"/>
    <xf numFmtId="164" fontId="0" fillId="4" borderId="19" xfId="0" applyNumberFormat="1" applyFill="1" applyBorder="1"/>
    <xf numFmtId="0" fontId="3" fillId="0" borderId="1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164" fontId="0" fillId="2" borderId="15" xfId="0" applyNumberFormat="1" applyFill="1" applyBorder="1"/>
    <xf numFmtId="164" fontId="0" fillId="2" borderId="16" xfId="0" applyNumberFormat="1" applyFill="1" applyBorder="1"/>
    <xf numFmtId="164" fontId="0" fillId="2" borderId="17" xfId="0" applyNumberFormat="1" applyFill="1" applyBorder="1"/>
    <xf numFmtId="166" fontId="0" fillId="2" borderId="22" xfId="0" applyNumberFormat="1" applyFill="1" applyBorder="1"/>
    <xf numFmtId="166" fontId="0" fillId="2" borderId="1" xfId="0" applyNumberFormat="1" applyFill="1" applyBorder="1"/>
    <xf numFmtId="167" fontId="0" fillId="7" borderId="12" xfId="0" applyNumberFormat="1" applyFill="1" applyBorder="1"/>
    <xf numFmtId="167" fontId="0" fillId="7" borderId="1" xfId="0" applyNumberFormat="1" applyFill="1" applyBorder="1"/>
    <xf numFmtId="167" fontId="0" fillId="7" borderId="5" xfId="0" applyNumberFormat="1" applyFill="1" applyBorder="1"/>
    <xf numFmtId="167" fontId="0" fillId="7" borderId="2" xfId="0" applyNumberFormat="1" applyFill="1" applyBorder="1"/>
    <xf numFmtId="0" fontId="3" fillId="0" borderId="11" xfId="0" applyFon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164" fontId="0" fillId="2" borderId="25" xfId="0" applyNumberFormat="1" applyFill="1" applyBorder="1"/>
    <xf numFmtId="164" fontId="0" fillId="2" borderId="26" xfId="0" applyNumberFormat="1" applyFill="1" applyBorder="1"/>
    <xf numFmtId="166" fontId="0" fillId="2" borderId="27" xfId="0" applyNumberFormat="1" applyFill="1" applyBorder="1"/>
    <xf numFmtId="166" fontId="0" fillId="2" borderId="5" xfId="0" applyNumberFormat="1" applyFill="1" applyBorder="1"/>
    <xf numFmtId="0" fontId="3" fillId="0" borderId="28" xfId="0" applyFont="1" applyFill="1" applyBorder="1"/>
    <xf numFmtId="0" fontId="0" fillId="8" borderId="29" xfId="0" applyFill="1" applyBorder="1"/>
    <xf numFmtId="0" fontId="0" fillId="8" borderId="30" xfId="0" applyFill="1" applyBorder="1"/>
    <xf numFmtId="0" fontId="0" fillId="8" borderId="32" xfId="0" applyFill="1" applyBorder="1"/>
    <xf numFmtId="0" fontId="0" fillId="8" borderId="0" xfId="0" applyFill="1" applyBorder="1"/>
    <xf numFmtId="0" fontId="0" fillId="8" borderId="34" xfId="0" applyFill="1" applyBorder="1"/>
    <xf numFmtId="0" fontId="0" fillId="8" borderId="35" xfId="0" applyFill="1" applyBorder="1"/>
    <xf numFmtId="0" fontId="1" fillId="0" borderId="0" xfId="0" applyFont="1" applyBorder="1"/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5" fontId="0" fillId="7" borderId="39" xfId="0" applyNumberFormat="1" applyFill="1" applyBorder="1"/>
    <xf numFmtId="0" fontId="3" fillId="0" borderId="38" xfId="0" applyFont="1" applyFill="1" applyBorder="1" applyAlignment="1">
      <alignment horizontal="center" vertical="center"/>
    </xf>
    <xf numFmtId="164" fontId="0" fillId="2" borderId="40" xfId="0" applyNumberFormat="1" applyFill="1" applyBorder="1"/>
    <xf numFmtId="164" fontId="0" fillId="2" borderId="41" xfId="0" applyNumberFormat="1" applyFill="1" applyBorder="1"/>
    <xf numFmtId="164" fontId="0" fillId="2" borderId="42" xfId="0" applyNumberFormat="1" applyFill="1" applyBorder="1"/>
    <xf numFmtId="0" fontId="0" fillId="4" borderId="1" xfId="0" applyFill="1" applyBorder="1" applyAlignment="1" applyProtection="1">
      <alignment horizontal="right"/>
      <protection locked="0"/>
    </xf>
    <xf numFmtId="164" fontId="0" fillId="0" borderId="0" xfId="0" applyNumberFormat="1"/>
    <xf numFmtId="164" fontId="0" fillId="0" borderId="0" xfId="0" applyNumberFormat="1" applyFill="1" applyBorder="1"/>
    <xf numFmtId="168" fontId="0" fillId="0" borderId="0" xfId="0" applyNumberFormat="1"/>
    <xf numFmtId="0" fontId="0" fillId="9" borderId="0" xfId="0" applyFill="1"/>
    <xf numFmtId="0" fontId="0" fillId="8" borderId="43" xfId="0" applyFill="1" applyBorder="1"/>
    <xf numFmtId="0" fontId="0" fillId="8" borderId="44" xfId="0" applyFill="1" applyBorder="1"/>
    <xf numFmtId="0" fontId="0" fillId="8" borderId="45" xfId="0" applyFill="1" applyBorder="1"/>
    <xf numFmtId="0" fontId="0" fillId="8" borderId="46" xfId="0" applyFill="1" applyBorder="1"/>
    <xf numFmtId="0" fontId="0" fillId="8" borderId="47" xfId="0" applyFill="1" applyBorder="1"/>
    <xf numFmtId="0" fontId="0" fillId="8" borderId="0" xfId="0" applyFill="1" applyBorder="1" applyAlignment="1">
      <alignment wrapText="1"/>
    </xf>
    <xf numFmtId="0" fontId="0" fillId="8" borderId="44" xfId="0" applyFill="1" applyBorder="1" applyAlignment="1">
      <alignment wrapText="1"/>
    </xf>
    <xf numFmtId="0" fontId="0" fillId="8" borderId="43" xfId="0" applyFill="1" applyBorder="1" applyAlignment="1"/>
    <xf numFmtId="0" fontId="0" fillId="8" borderId="0" xfId="0" applyFill="1" applyBorder="1" applyProtection="1"/>
    <xf numFmtId="169" fontId="0" fillId="0" borderId="0" xfId="0" applyNumberFormat="1"/>
    <xf numFmtId="165" fontId="0" fillId="0" borderId="0" xfId="0" applyNumberFormat="1"/>
    <xf numFmtId="0" fontId="0" fillId="8" borderId="32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0" xfId="0" applyFill="1" applyProtection="1"/>
    <xf numFmtId="0" fontId="0" fillId="8" borderId="0" xfId="0" applyFill="1" applyBorder="1" applyAlignment="1" applyProtection="1">
      <alignment horizontal="right"/>
    </xf>
    <xf numFmtId="1" fontId="0" fillId="0" borderId="0" xfId="0" applyNumberFormat="1"/>
    <xf numFmtId="1" fontId="0" fillId="4" borderId="1" xfId="0" applyNumberFormat="1" applyFill="1" applyBorder="1" applyAlignment="1" applyProtection="1">
      <alignment horizontal="right"/>
      <protection locked="0"/>
    </xf>
    <xf numFmtId="164" fontId="0" fillId="4" borderId="48" xfId="0" applyNumberFormat="1" applyFill="1" applyBorder="1"/>
    <xf numFmtId="164" fontId="0" fillId="4" borderId="49" xfId="0" applyNumberFormat="1" applyFill="1" applyBorder="1"/>
    <xf numFmtId="164" fontId="0" fillId="4" borderId="3" xfId="0" applyNumberFormat="1" applyFill="1" applyBorder="1"/>
    <xf numFmtId="164" fontId="0" fillId="2" borderId="12" xfId="0" applyNumberFormat="1" applyFill="1" applyBorder="1"/>
    <xf numFmtId="0" fontId="0" fillId="0" borderId="1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167" fontId="0" fillId="2" borderId="39" xfId="0" applyNumberFormat="1" applyFill="1" applyBorder="1"/>
    <xf numFmtId="164" fontId="0" fillId="5" borderId="19" xfId="0" applyNumberFormat="1" applyFill="1" applyBorder="1"/>
    <xf numFmtId="0" fontId="3" fillId="0" borderId="2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0" xfId="0" applyBorder="1"/>
    <xf numFmtId="2" fontId="0" fillId="0" borderId="0" xfId="0" applyNumberFormat="1" applyFill="1" applyBorder="1" applyAlignment="1">
      <alignment horizontal="right"/>
    </xf>
    <xf numFmtId="2" fontId="0" fillId="0" borderId="0" xfId="0" applyNumberFormat="1" applyBorder="1" applyAlignment="1">
      <alignment horizontal="right"/>
    </xf>
    <xf numFmtId="0" fontId="0" fillId="0" borderId="0" xfId="0" applyFont="1"/>
    <xf numFmtId="0" fontId="0" fillId="0" borderId="35" xfId="0" applyBorder="1"/>
    <xf numFmtId="0" fontId="0" fillId="0" borderId="33" xfId="0" applyBorder="1"/>
    <xf numFmtId="0" fontId="0" fillId="0" borderId="50" xfId="0" applyBorder="1" applyAlignment="1"/>
    <xf numFmtId="0" fontId="0" fillId="0" borderId="50" xfId="0" applyFont="1" applyBorder="1" applyAlignment="1"/>
    <xf numFmtId="0" fontId="0" fillId="0" borderId="33" xfId="0" applyFill="1" applyBorder="1" applyAlignment="1"/>
    <xf numFmtId="0" fontId="0" fillId="0" borderId="33" xfId="0" applyFill="1" applyBorder="1"/>
    <xf numFmtId="0" fontId="0" fillId="0" borderId="33" xfId="0" applyFill="1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50" xfId="0" applyFill="1" applyBorder="1" applyAlignment="1">
      <alignment horizontal="right"/>
    </xf>
    <xf numFmtId="0" fontId="0" fillId="0" borderId="50" xfId="0" applyBorder="1" applyAlignment="1">
      <alignment horizontal="right"/>
    </xf>
    <xf numFmtId="165" fontId="0" fillId="2" borderId="12" xfId="0" applyNumberFormat="1" applyFill="1" applyBorder="1"/>
    <xf numFmtId="167" fontId="0" fillId="2" borderId="12" xfId="0" applyNumberFormat="1" applyFill="1" applyBorder="1"/>
    <xf numFmtId="166" fontId="0" fillId="2" borderId="12" xfId="0" applyNumberFormat="1" applyFill="1" applyBorder="1"/>
    <xf numFmtId="0" fontId="0" fillId="4" borderId="1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/>
    </xf>
    <xf numFmtId="0" fontId="0" fillId="0" borderId="0" xfId="0" applyNumberFormat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33" xfId="0" applyFont="1" applyFill="1" applyBorder="1"/>
    <xf numFmtId="0" fontId="0" fillId="0" borderId="52" xfId="0" applyBorder="1" applyAlignment="1">
      <alignment horizontal="right"/>
    </xf>
    <xf numFmtId="0" fontId="0" fillId="0" borderId="53" xfId="0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54" xfId="0" applyFill="1" applyBorder="1"/>
    <xf numFmtId="1" fontId="0" fillId="0" borderId="0" xfId="0" applyNumberFormat="1" applyBorder="1" applyAlignment="1">
      <alignment horizontal="right"/>
    </xf>
    <xf numFmtId="0" fontId="0" fillId="0" borderId="50" xfId="0" applyFill="1" applyBorder="1" applyAlignment="1">
      <alignment horizontal="right"/>
    </xf>
    <xf numFmtId="0" fontId="0" fillId="0" borderId="33" xfId="0" applyBorder="1"/>
    <xf numFmtId="0" fontId="0" fillId="0" borderId="34" xfId="0" applyFill="1" applyBorder="1" applyAlignment="1">
      <alignment horizontal="right"/>
    </xf>
    <xf numFmtId="0" fontId="0" fillId="0" borderId="35" xfId="0" applyBorder="1"/>
    <xf numFmtId="0" fontId="0" fillId="0" borderId="35" xfId="0" applyBorder="1" applyAlignment="1">
      <alignment horizontal="right"/>
    </xf>
    <xf numFmtId="0" fontId="0" fillId="0" borderId="35" xfId="0" applyFill="1" applyBorder="1"/>
    <xf numFmtId="0" fontId="0" fillId="0" borderId="33" xfId="0" applyBorder="1"/>
    <xf numFmtId="0" fontId="0" fillId="0" borderId="36" xfId="0" applyBorder="1"/>
    <xf numFmtId="0" fontId="0" fillId="0" borderId="33" xfId="0" applyFill="1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33" xfId="0" applyFill="1" applyBorder="1"/>
    <xf numFmtId="0" fontId="0" fillId="0" borderId="33" xfId="0" applyFill="1" applyBorder="1"/>
    <xf numFmtId="0" fontId="0" fillId="0" borderId="36" xfId="0" applyFill="1" applyBorder="1"/>
    <xf numFmtId="0" fontId="0" fillId="0" borderId="53" xfId="0" applyBorder="1"/>
    <xf numFmtId="0" fontId="0" fillId="0" borderId="28" xfId="0" applyBorder="1"/>
    <xf numFmtId="0" fontId="0" fillId="0" borderId="53" xfId="0" applyFill="1" applyBorder="1" applyAlignment="1">
      <alignment horizontal="right"/>
    </xf>
    <xf numFmtId="0" fontId="0" fillId="0" borderId="28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28" xfId="0" applyBorder="1" applyAlignment="1">
      <alignment horizontal="right"/>
    </xf>
    <xf numFmtId="1" fontId="0" fillId="0" borderId="18" xfId="0" applyNumberFormat="1" applyBorder="1" applyAlignment="1">
      <alignment horizontal="center"/>
    </xf>
    <xf numFmtId="164" fontId="0" fillId="5" borderId="6" xfId="0" applyNumberFormat="1" applyFill="1" applyBorder="1"/>
    <xf numFmtId="167" fontId="0" fillId="2" borderId="17" xfId="0" applyNumberFormat="1" applyFill="1" applyBorder="1"/>
    <xf numFmtId="164" fontId="0" fillId="5" borderId="12" xfId="0" applyNumberFormat="1" applyFill="1" applyBorder="1"/>
    <xf numFmtId="164" fontId="0" fillId="5" borderId="19" xfId="0" applyNumberFormat="1" applyFill="1" applyBorder="1"/>
    <xf numFmtId="167" fontId="0" fillId="2" borderId="39" xfId="0" applyNumberFormat="1" applyFill="1" applyBorder="1"/>
    <xf numFmtId="165" fontId="0" fillId="2" borderId="12" xfId="0" applyNumberFormat="1" applyFill="1" applyBorder="1"/>
    <xf numFmtId="164" fontId="0" fillId="2" borderId="11" xfId="0" applyNumberFormat="1" applyFill="1" applyBorder="1"/>
    <xf numFmtId="164" fontId="0" fillId="2" borderId="12" xfId="0" applyNumberFormat="1" applyFill="1" applyBorder="1"/>
    <xf numFmtId="165" fontId="0" fillId="2" borderId="50" xfId="0" applyNumberFormat="1" applyFill="1" applyBorder="1"/>
    <xf numFmtId="0" fontId="3" fillId="0" borderId="8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165" fontId="0" fillId="2" borderId="57" xfId="0" applyNumberFormat="1" applyFill="1" applyBorder="1"/>
    <xf numFmtId="164" fontId="0" fillId="4" borderId="20" xfId="0" applyNumberFormat="1" applyFill="1" applyBorder="1"/>
    <xf numFmtId="164" fontId="0" fillId="4" borderId="12" xfId="0" applyNumberFormat="1" applyFill="1" applyBorder="1"/>
    <xf numFmtId="164" fontId="0" fillId="2" borderId="58" xfId="0" applyNumberFormat="1" applyFill="1" applyBorder="1"/>
    <xf numFmtId="164" fontId="0" fillId="2" borderId="59" xfId="0" applyNumberFormat="1" applyFill="1" applyBorder="1"/>
    <xf numFmtId="164" fontId="0" fillId="2" borderId="60" xfId="0" applyNumberFormat="1" applyFill="1" applyBorder="1"/>
    <xf numFmtId="0" fontId="0" fillId="0" borderId="50" xfId="0" applyFont="1" applyFill="1" applyBorder="1" applyAlignment="1"/>
    <xf numFmtId="0" fontId="0" fillId="0" borderId="33" xfId="0" applyFont="1" applyFill="1" applyBorder="1"/>
    <xf numFmtId="0" fontId="0" fillId="0" borderId="33" xfId="0" applyBorder="1"/>
    <xf numFmtId="0" fontId="0" fillId="0" borderId="33" xfId="0" applyBorder="1"/>
    <xf numFmtId="0" fontId="0" fillId="0" borderId="50" xfId="0" applyBorder="1" applyAlignment="1"/>
    <xf numFmtId="0" fontId="0" fillId="0" borderId="53" xfId="0" applyBorder="1" applyAlignment="1"/>
    <xf numFmtId="0" fontId="3" fillId="0" borderId="61" xfId="0" applyFont="1" applyFill="1" applyBorder="1" applyAlignment="1">
      <alignment horizontal="center" vertical="center"/>
    </xf>
    <xf numFmtId="0" fontId="0" fillId="0" borderId="30" xfId="0" applyBorder="1"/>
    <xf numFmtId="165" fontId="0" fillId="7" borderId="39" xfId="0" applyNumberFormat="1" applyFill="1" applyBorder="1"/>
    <xf numFmtId="164" fontId="0" fillId="2" borderId="19" xfId="0" applyNumberFormat="1" applyFill="1" applyBorder="1"/>
    <xf numFmtId="164" fontId="0" fillId="2" borderId="39" xfId="0" applyNumberFormat="1" applyFill="1" applyBorder="1"/>
    <xf numFmtId="164" fontId="0" fillId="2" borderId="7" xfId="0" applyNumberFormat="1" applyFill="1" applyBorder="1"/>
    <xf numFmtId="164" fontId="0" fillId="0" borderId="53" xfId="0" applyNumberFormat="1" applyBorder="1"/>
    <xf numFmtId="164" fontId="0" fillId="0" borderId="28" xfId="0" applyNumberFormat="1" applyBorder="1"/>
    <xf numFmtId="164" fontId="0" fillId="0" borderId="36" xfId="0" applyNumberFormat="1" applyBorder="1"/>
    <xf numFmtId="164" fontId="0" fillId="0" borderId="53" xfId="0" applyNumberFormat="1" applyBorder="1"/>
    <xf numFmtId="164" fontId="0" fillId="0" borderId="36" xfId="0" applyNumberFormat="1" applyBorder="1"/>
    <xf numFmtId="0" fontId="3" fillId="10" borderId="1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164" fontId="0" fillId="10" borderId="2" xfId="0" applyNumberFormat="1" applyFill="1" applyBorder="1"/>
    <xf numFmtId="164" fontId="0" fillId="10" borderId="26" xfId="0" applyNumberFormat="1" applyFill="1" applyBorder="1"/>
    <xf numFmtId="164" fontId="0" fillId="10" borderId="1" xfId="0" applyNumberFormat="1" applyFill="1" applyBorder="1"/>
    <xf numFmtId="164" fontId="0" fillId="10" borderId="22" xfId="0" applyNumberFormat="1" applyFill="1" applyBorder="1"/>
    <xf numFmtId="164" fontId="0" fillId="10" borderId="5" xfId="0" applyNumberFormat="1" applyFill="1" applyBorder="1"/>
    <xf numFmtId="164" fontId="0" fillId="10" borderId="62" xfId="0" applyNumberFormat="1" applyFill="1" applyBorder="1"/>
    <xf numFmtId="0" fontId="0" fillId="0" borderId="63" xfId="0" applyBorder="1"/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3" fillId="0" borderId="5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2" fontId="0" fillId="0" borderId="53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0" borderId="65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6" xfId="0" applyBorder="1" applyAlignment="1">
      <alignment horizontal="center"/>
    </xf>
    <xf numFmtId="164" fontId="0" fillId="0" borderId="0" xfId="0" applyNumberFormat="1" applyFill="1"/>
    <xf numFmtId="164" fontId="0" fillId="0" borderId="0" xfId="0" applyNumberFormat="1" applyFill="1" applyBorder="1"/>
    <xf numFmtId="0" fontId="5" fillId="0" borderId="0" xfId="0" applyFont="1" applyFill="1"/>
    <xf numFmtId="164" fontId="5" fillId="0" borderId="0" xfId="0" applyNumberFormat="1" applyFont="1" applyFill="1" applyBorder="1"/>
    <xf numFmtId="0" fontId="5" fillId="0" borderId="0" xfId="0" applyFont="1" applyFill="1" applyBorder="1"/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167" fontId="5" fillId="0" borderId="0" xfId="0" applyNumberFormat="1" applyFont="1" applyFill="1" applyBorder="1"/>
    <xf numFmtId="165" fontId="5" fillId="0" borderId="0" xfId="0" applyNumberFormat="1" applyFont="1" applyFill="1" applyBorder="1"/>
    <xf numFmtId="166" fontId="5" fillId="0" borderId="0" xfId="0" applyNumberFormat="1" applyFont="1" applyFill="1" applyBorder="1"/>
    <xf numFmtId="0" fontId="8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Fill="1" applyBorder="1"/>
    <xf numFmtId="0" fontId="3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textRotation="90"/>
    </xf>
    <xf numFmtId="0" fontId="0" fillId="0" borderId="0" xfId="0" applyBorder="1"/>
    <xf numFmtId="0" fontId="0" fillId="0" borderId="0" xfId="0" applyFont="1" applyBorder="1"/>
    <xf numFmtId="0" fontId="0" fillId="0" borderId="0" xfId="0" applyFont="1" applyBorder="1"/>
    <xf numFmtId="0" fontId="5" fillId="0" borderId="0" xfId="0" applyFont="1" applyBorder="1"/>
    <xf numFmtId="164" fontId="0" fillId="0" borderId="33" xfId="0" applyNumberFormat="1" applyBorder="1"/>
    <xf numFmtId="0" fontId="8" fillId="0" borderId="0" xfId="0" applyFont="1" applyFill="1" applyBorder="1" applyAlignment="1"/>
    <xf numFmtId="0" fontId="5" fillId="0" borderId="0" xfId="0" applyFont="1" applyFill="1" applyBorder="1" applyAlignment="1"/>
    <xf numFmtId="2" fontId="3" fillId="0" borderId="40" xfId="0" applyNumberFormat="1" applyFont="1" applyBorder="1" applyAlignment="1">
      <alignment horizontal="center"/>
    </xf>
    <xf numFmtId="0" fontId="3" fillId="0" borderId="61" xfId="0" applyFont="1" applyBorder="1" applyAlignment="1">
      <alignment horizontal="center"/>
    </xf>
    <xf numFmtId="0" fontId="0" fillId="0" borderId="65" xfId="0" applyBorder="1"/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2" xfId="0" applyFill="1" applyBorder="1"/>
    <xf numFmtId="170" fontId="0" fillId="0" borderId="35" xfId="0" applyNumberFormat="1" applyFill="1" applyBorder="1" applyAlignment="1">
      <alignment horizontal="center"/>
    </xf>
    <xf numFmtId="167" fontId="0" fillId="2" borderId="5" xfId="0" applyNumberFormat="1" applyFill="1" applyBorder="1"/>
    <xf numFmtId="0" fontId="10" fillId="0" borderId="40" xfId="0" applyFont="1" applyBorder="1" applyAlignment="1">
      <alignment horizontal="center"/>
    </xf>
    <xf numFmtId="0" fontId="10" fillId="0" borderId="66" xfId="0" applyFont="1" applyBorder="1" applyAlignment="1">
      <alignment horizontal="center"/>
    </xf>
    <xf numFmtId="0" fontId="10" fillId="0" borderId="40" xfId="0" applyFont="1" applyFill="1" applyBorder="1" applyAlignment="1">
      <alignment horizontal="center"/>
    </xf>
    <xf numFmtId="0" fontId="10" fillId="0" borderId="66" xfId="0" applyFont="1" applyFill="1" applyBorder="1" applyAlignment="1">
      <alignment horizontal="center"/>
    </xf>
    <xf numFmtId="0" fontId="10" fillId="0" borderId="38" xfId="0" applyFont="1" applyBorder="1" applyAlignment="1">
      <alignment horizontal="center"/>
    </xf>
    <xf numFmtId="164" fontId="0" fillId="2" borderId="22" xfId="0" applyNumberFormat="1" applyFill="1" applyBorder="1"/>
    <xf numFmtId="164" fontId="0" fillId="2" borderId="62" xfId="0" applyNumberFormat="1" applyFill="1" applyBorder="1"/>
    <xf numFmtId="164" fontId="0" fillId="2" borderId="68" xfId="0" applyNumberFormat="1" applyFill="1" applyBorder="1"/>
    <xf numFmtId="164" fontId="0" fillId="2" borderId="66" xfId="0" applyNumberFormat="1" applyFill="1" applyBorder="1"/>
    <xf numFmtId="166" fontId="0" fillId="0" borderId="53" xfId="0" applyNumberFormat="1" applyBorder="1" applyAlignment="1">
      <alignment horizontal="center"/>
    </xf>
    <xf numFmtId="168" fontId="5" fillId="0" borderId="0" xfId="0" applyNumberFormat="1" applyFont="1" applyFill="1" applyBorder="1" applyAlignment="1">
      <alignment horizontal="right"/>
    </xf>
    <xf numFmtId="166" fontId="0" fillId="0" borderId="0" xfId="0" applyNumberFormat="1"/>
    <xf numFmtId="0" fontId="0" fillId="0" borderId="54" xfId="0" applyBorder="1" applyAlignment="1">
      <alignment horizontal="center"/>
    </xf>
    <xf numFmtId="164" fontId="0" fillId="7" borderId="26" xfId="0" applyNumberFormat="1" applyFill="1" applyBorder="1"/>
    <xf numFmtId="164" fontId="0" fillId="7" borderId="22" xfId="0" applyNumberFormat="1" applyFill="1" applyBorder="1"/>
    <xf numFmtId="164" fontId="0" fillId="7" borderId="62" xfId="0" applyNumberFormat="1" applyFill="1" applyBorder="1"/>
    <xf numFmtId="164" fontId="0" fillId="4" borderId="53" xfId="0" applyNumberFormat="1" applyFill="1" applyBorder="1"/>
    <xf numFmtId="164" fontId="0" fillId="4" borderId="9" xfId="0" applyNumberFormat="1" applyFill="1" applyBorder="1"/>
    <xf numFmtId="164" fontId="0" fillId="4" borderId="10" xfId="0" applyNumberFormat="1" applyFill="1" applyBorder="1"/>
    <xf numFmtId="164" fontId="0" fillId="4" borderId="7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6" fontId="0" fillId="2" borderId="69" xfId="0" applyNumberFormat="1" applyFill="1" applyBorder="1"/>
    <xf numFmtId="166" fontId="0" fillId="2" borderId="70" xfId="0" applyNumberFormat="1" applyFill="1" applyBorder="1"/>
    <xf numFmtId="164" fontId="0" fillId="2" borderId="51" xfId="0" applyNumberFormat="1" applyFill="1" applyBorder="1"/>
    <xf numFmtId="164" fontId="0" fillId="2" borderId="71" xfId="0" applyNumberFormat="1" applyFill="1" applyBorder="1"/>
    <xf numFmtId="166" fontId="0" fillId="2" borderId="9" xfId="0" applyNumberFormat="1" applyFill="1" applyBorder="1"/>
    <xf numFmtId="166" fontId="0" fillId="2" borderId="2" xfId="0" applyNumberFormat="1" applyFill="1" applyBorder="1"/>
    <xf numFmtId="166" fontId="0" fillId="2" borderId="10" xfId="0" applyNumberFormat="1" applyFill="1" applyBorder="1"/>
    <xf numFmtId="166" fontId="0" fillId="2" borderId="7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5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4" xfId="0" applyBorder="1"/>
    <xf numFmtId="0" fontId="0" fillId="0" borderId="79" xfId="0" applyBorder="1"/>
    <xf numFmtId="164" fontId="0" fillId="2" borderId="80" xfId="0" applyNumberFormat="1" applyFill="1" applyBorder="1"/>
    <xf numFmtId="0" fontId="0" fillId="0" borderId="79" xfId="0" applyBorder="1" applyAlignment="1">
      <alignment horizontal="center"/>
    </xf>
    <xf numFmtId="0" fontId="12" fillId="0" borderId="79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0" fontId="0" fillId="14" borderId="48" xfId="0" applyFill="1" applyBorder="1" applyAlignment="1">
      <alignment horizontal="center"/>
    </xf>
    <xf numFmtId="0" fontId="12" fillId="0" borderId="54" xfId="0" applyFont="1" applyFill="1" applyBorder="1" applyAlignment="1">
      <alignment horizontal="center"/>
    </xf>
    <xf numFmtId="0" fontId="0" fillId="0" borderId="54" xfId="0" applyBorder="1"/>
    <xf numFmtId="0" fontId="11" fillId="0" borderId="1" xfId="0" applyFont="1" applyFill="1" applyBorder="1" applyAlignment="1">
      <alignment horizontal="center"/>
    </xf>
    <xf numFmtId="0" fontId="0" fillId="3" borderId="0" xfId="0" applyFill="1" applyBorder="1"/>
    <xf numFmtId="0" fontId="0" fillId="4" borderId="0" xfId="0" applyFill="1" applyBorder="1"/>
    <xf numFmtId="0" fontId="1" fillId="0" borderId="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79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48" xfId="0" applyFont="1" applyFill="1" applyBorder="1" applyAlignment="1">
      <alignment horizontal="center"/>
    </xf>
    <xf numFmtId="0" fontId="3" fillId="0" borderId="38" xfId="0" applyFont="1" applyFill="1" applyBorder="1"/>
    <xf numFmtId="164" fontId="0" fillId="0" borderId="30" xfId="0" applyNumberFormat="1" applyFill="1" applyBorder="1"/>
    <xf numFmtId="0" fontId="10" fillId="0" borderId="1" xfId="0" applyFont="1" applyBorder="1"/>
    <xf numFmtId="0" fontId="0" fillId="0" borderId="1" xfId="0" applyFont="1" applyBorder="1" applyAlignment="1">
      <alignment horizontal="center"/>
    </xf>
    <xf numFmtId="0" fontId="0" fillId="8" borderId="74" xfId="0" applyFill="1" applyBorder="1" applyProtection="1"/>
    <xf numFmtId="0" fontId="0" fillId="8" borderId="74" xfId="0" applyFill="1" applyBorder="1"/>
    <xf numFmtId="0" fontId="5" fillId="14" borderId="1" xfId="0" applyFont="1" applyFill="1" applyBorder="1"/>
    <xf numFmtId="0" fontId="5" fillId="14" borderId="1" xfId="0" applyFont="1" applyFill="1" applyBorder="1" applyAlignment="1">
      <alignment horizontal="center"/>
    </xf>
    <xf numFmtId="165" fontId="0" fillId="7" borderId="50" xfId="0" applyNumberFormat="1" applyFill="1" applyBorder="1"/>
    <xf numFmtId="165" fontId="0" fillId="7" borderId="9" xfId="0" applyNumberFormat="1" applyFill="1" applyBorder="1"/>
    <xf numFmtId="164" fontId="0" fillId="6" borderId="12" xfId="0" applyNumberFormat="1" applyFill="1" applyBorder="1"/>
    <xf numFmtId="167" fontId="0" fillId="2" borderId="48" xfId="0" applyNumberFormat="1" applyFill="1" applyBorder="1"/>
    <xf numFmtId="166" fontId="0" fillId="0" borderId="28" xfId="0" applyNumberFormat="1" applyBorder="1" applyAlignment="1">
      <alignment horizontal="center"/>
    </xf>
    <xf numFmtId="166" fontId="0" fillId="0" borderId="63" xfId="0" applyNumberFormat="1" applyBorder="1" applyAlignment="1">
      <alignment horizontal="center"/>
    </xf>
    <xf numFmtId="166" fontId="0" fillId="0" borderId="64" xfId="0" applyNumberFormat="1" applyBorder="1" applyAlignment="1">
      <alignment horizontal="center"/>
    </xf>
    <xf numFmtId="166" fontId="0" fillId="0" borderId="33" xfId="0" applyNumberFormat="1" applyBorder="1" applyAlignment="1">
      <alignment horizontal="center"/>
    </xf>
    <xf numFmtId="0" fontId="10" fillId="0" borderId="25" xfId="0" applyFont="1" applyFill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0" fillId="0" borderId="64" xfId="0" applyBorder="1"/>
    <xf numFmtId="164" fontId="0" fillId="0" borderId="33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164" fontId="0" fillId="0" borderId="53" xfId="0" applyNumberFormat="1" applyBorder="1" applyAlignment="1">
      <alignment horizontal="center"/>
    </xf>
    <xf numFmtId="164" fontId="0" fillId="0" borderId="63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64" xfId="0" applyNumberFormat="1" applyBorder="1" applyAlignment="1">
      <alignment horizontal="center"/>
    </xf>
    <xf numFmtId="166" fontId="0" fillId="0" borderId="36" xfId="0" applyNumberFormat="1" applyBorder="1" applyAlignment="1">
      <alignment horizontal="center"/>
    </xf>
    <xf numFmtId="0" fontId="0" fillId="0" borderId="63" xfId="0" applyFont="1" applyFill="1" applyBorder="1" applyAlignment="1">
      <alignment horizontal="left"/>
    </xf>
    <xf numFmtId="0" fontId="13" fillId="15" borderId="0" xfId="0" applyFont="1" applyFill="1"/>
    <xf numFmtId="0" fontId="0" fillId="15" borderId="0" xfId="0" applyFill="1"/>
    <xf numFmtId="0" fontId="0" fillId="15" borderId="63" xfId="0" applyFill="1" applyBorder="1"/>
    <xf numFmtId="0" fontId="0" fillId="15" borderId="65" xfId="0" applyFill="1" applyBorder="1"/>
    <xf numFmtId="0" fontId="0" fillId="15" borderId="33" xfId="0" applyFill="1" applyBorder="1"/>
    <xf numFmtId="0" fontId="10" fillId="16" borderId="22" xfId="0" applyFont="1" applyFill="1" applyBorder="1"/>
    <xf numFmtId="0" fontId="10" fillId="16" borderId="79" xfId="0" applyFont="1" applyFill="1" applyBorder="1" applyAlignment="1">
      <alignment horizontal="right"/>
    </xf>
    <xf numFmtId="49" fontId="0" fillId="16" borderId="79" xfId="0" applyNumberFormat="1" applyFont="1" applyFill="1" applyBorder="1"/>
    <xf numFmtId="0" fontId="10" fillId="16" borderId="79" xfId="0" applyFont="1" applyFill="1" applyBorder="1"/>
    <xf numFmtId="171" fontId="0" fillId="16" borderId="79" xfId="0" applyNumberFormat="1" applyFill="1" applyBorder="1" applyAlignment="1">
      <alignment horizontal="right"/>
    </xf>
    <xf numFmtId="0" fontId="0" fillId="16" borderId="16" xfId="0" applyFill="1" applyBorder="1"/>
    <xf numFmtId="164" fontId="13" fillId="15" borderId="0" xfId="0" applyNumberFormat="1" applyFont="1" applyFill="1"/>
    <xf numFmtId="164" fontId="0" fillId="15" borderId="0" xfId="0" applyNumberFormat="1" applyFill="1"/>
    <xf numFmtId="0" fontId="0" fillId="8" borderId="0" xfId="0" applyFill="1" applyBorder="1" applyAlignment="1">
      <alignment horizontal="right"/>
    </xf>
    <xf numFmtId="0" fontId="12" fillId="0" borderId="1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14" fillId="0" borderId="0" xfId="0" applyFont="1" applyBorder="1" applyAlignment="1">
      <alignment horizontal="right"/>
    </xf>
    <xf numFmtId="0" fontId="15" fillId="0" borderId="0" xfId="0" applyFont="1" applyBorder="1"/>
    <xf numFmtId="0" fontId="15" fillId="0" borderId="0" xfId="0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0" fillId="0" borderId="51" xfId="0" applyBorder="1"/>
    <xf numFmtId="0" fontId="0" fillId="0" borderId="39" xfId="0" applyBorder="1"/>
    <xf numFmtId="0" fontId="5" fillId="0" borderId="57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57" xfId="0" applyFont="1" applyBorder="1" applyAlignment="1">
      <alignment horizontal="center"/>
    </xf>
    <xf numFmtId="1" fontId="5" fillId="0" borderId="48" xfId="0" applyNumberFormat="1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8" xfId="0" applyFont="1" applyBorder="1"/>
    <xf numFmtId="0" fontId="5" fillId="0" borderId="48" xfId="0" applyNumberFormat="1" applyFont="1" applyBorder="1"/>
    <xf numFmtId="0" fontId="5" fillId="0" borderId="12" xfId="0" applyFont="1" applyBorder="1"/>
    <xf numFmtId="0" fontId="10" fillId="0" borderId="0" xfId="0" applyFont="1"/>
    <xf numFmtId="0" fontId="15" fillId="0" borderId="70" xfId="0" applyFont="1" applyBorder="1" applyAlignment="1">
      <alignment horizontal="right"/>
    </xf>
    <xf numFmtId="164" fontId="15" fillId="0" borderId="81" xfId="0" applyNumberFormat="1" applyFont="1" applyBorder="1" applyAlignment="1">
      <alignment horizontal="right"/>
    </xf>
    <xf numFmtId="0" fontId="15" fillId="0" borderId="51" xfId="0" applyFont="1" applyBorder="1"/>
    <xf numFmtId="0" fontId="15" fillId="0" borderId="54" xfId="0" applyFont="1" applyBorder="1" applyAlignment="1">
      <alignment horizontal="right"/>
    </xf>
    <xf numFmtId="0" fontId="15" fillId="0" borderId="50" xfId="0" applyFont="1" applyBorder="1"/>
    <xf numFmtId="0" fontId="15" fillId="0" borderId="54" xfId="0" applyFont="1" applyBorder="1"/>
    <xf numFmtId="0" fontId="15" fillId="0" borderId="68" xfId="0" applyFont="1" applyBorder="1" applyAlignment="1">
      <alignment horizontal="right"/>
    </xf>
    <xf numFmtId="0" fontId="15" fillId="0" borderId="74" xfId="0" applyFont="1" applyBorder="1" applyAlignment="1">
      <alignment horizontal="right"/>
    </xf>
    <xf numFmtId="0" fontId="15" fillId="0" borderId="39" xfId="0" applyFont="1" applyBorder="1"/>
    <xf numFmtId="0" fontId="5" fillId="17" borderId="0" xfId="0" applyFont="1" applyFill="1" applyBorder="1" applyAlignment="1">
      <alignment horizontal="right"/>
    </xf>
    <xf numFmtId="0" fontId="4" fillId="8" borderId="3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0" fillId="12" borderId="79" xfId="0" applyFill="1" applyBorder="1" applyAlignment="1" applyProtection="1">
      <alignment horizontal="center"/>
    </xf>
    <xf numFmtId="0" fontId="0" fillId="12" borderId="16" xfId="0" applyFill="1" applyBorder="1" applyAlignment="1" applyProtection="1">
      <alignment horizontal="center"/>
    </xf>
    <xf numFmtId="0" fontId="0" fillId="8" borderId="0" xfId="0" applyFill="1" applyBorder="1" applyAlignment="1">
      <alignment horizontal="right"/>
    </xf>
    <xf numFmtId="0" fontId="0" fillId="8" borderId="50" xfId="0" applyFill="1" applyBorder="1" applyAlignment="1">
      <alignment horizontal="right"/>
    </xf>
    <xf numFmtId="0" fontId="10" fillId="8" borderId="0" xfId="0" applyFont="1" applyFill="1" applyBorder="1" applyAlignment="1">
      <alignment horizontal="left"/>
    </xf>
    <xf numFmtId="0" fontId="0" fillId="12" borderId="22" xfId="0" applyFill="1" applyBorder="1" applyAlignment="1" applyProtection="1">
      <alignment horizontal="center"/>
    </xf>
    <xf numFmtId="0" fontId="3" fillId="0" borderId="72" xfId="0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3" fillId="0" borderId="58" xfId="0" applyFont="1" applyBorder="1" applyAlignment="1">
      <alignment horizontal="center"/>
    </xf>
    <xf numFmtId="2" fontId="3" fillId="0" borderId="72" xfId="0" applyNumberFormat="1" applyFont="1" applyBorder="1" applyAlignment="1">
      <alignment horizontal="center"/>
    </xf>
    <xf numFmtId="2" fontId="3" fillId="0" borderId="65" xfId="0" applyNumberFormat="1" applyFont="1" applyBorder="1" applyAlignment="1">
      <alignment horizontal="center"/>
    </xf>
    <xf numFmtId="2" fontId="3" fillId="0" borderId="37" xfId="0" applyNumberFormat="1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3" fillId="0" borderId="75" xfId="0" applyFont="1" applyBorder="1" applyAlignment="1">
      <alignment horizontal="center"/>
    </xf>
    <xf numFmtId="0" fontId="3" fillId="0" borderId="61" xfId="0" applyFont="1" applyFill="1" applyBorder="1" applyAlignment="1">
      <alignment horizontal="center" vertical="center" textRotation="90"/>
    </xf>
    <xf numFmtId="0" fontId="3" fillId="0" borderId="63" xfId="0" applyFont="1" applyFill="1" applyBorder="1" applyAlignment="1">
      <alignment horizontal="center" vertical="center" textRotation="90"/>
    </xf>
    <xf numFmtId="0" fontId="3" fillId="0" borderId="64" xfId="0" applyFont="1" applyFill="1" applyBorder="1" applyAlignment="1">
      <alignment horizontal="center" vertical="center" textRotation="90"/>
    </xf>
    <xf numFmtId="0" fontId="9" fillId="0" borderId="72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3" fillId="11" borderId="72" xfId="0" applyFont="1" applyFill="1" applyBorder="1" applyAlignment="1">
      <alignment horizontal="center"/>
    </xf>
    <xf numFmtId="0" fontId="3" fillId="11" borderId="65" xfId="0" applyFont="1" applyFill="1" applyBorder="1" applyAlignment="1">
      <alignment horizontal="center"/>
    </xf>
    <xf numFmtId="0" fontId="3" fillId="11" borderId="3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10" fillId="0" borderId="72" xfId="0" applyFont="1" applyBorder="1" applyAlignment="1">
      <alignment horizontal="center"/>
    </xf>
    <xf numFmtId="0" fontId="10" fillId="0" borderId="65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5" fillId="13" borderId="1" xfId="0" applyFont="1" applyFill="1" applyBorder="1" applyAlignment="1">
      <alignment horizontal="center"/>
    </xf>
    <xf numFmtId="0" fontId="0" fillId="13" borderId="74" xfId="0" applyFill="1" applyBorder="1" applyAlignment="1">
      <alignment horizontal="center"/>
    </xf>
    <xf numFmtId="0" fontId="0" fillId="13" borderId="3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79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8" borderId="76" xfId="0" applyFill="1" applyBorder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3" xfId="0" applyFill="1" applyBorder="1" applyAlignment="1">
      <alignment horizontal="center" wrapText="1"/>
    </xf>
    <xf numFmtId="0" fontId="0" fillId="8" borderId="0" xfId="0" applyFill="1" applyBorder="1" applyAlignment="1">
      <alignment horizontal="center" wrapText="1"/>
    </xf>
    <xf numFmtId="0" fontId="0" fillId="8" borderId="44" xfId="0" applyFill="1" applyBorder="1" applyAlignment="1">
      <alignment horizontal="center" wrapText="1"/>
    </xf>
    <xf numFmtId="0" fontId="0" fillId="16" borderId="1" xfId="0" applyFill="1" applyBorder="1"/>
  </cellXfs>
  <cellStyles count="1">
    <cellStyle name="Normal" xfId="0" builtinId="0"/>
  </cellStyles>
  <dxfs count="9">
    <dxf>
      <font>
        <color theme="1" tint="0.499984740745262"/>
      </font>
      <fill>
        <patternFill>
          <bgColor theme="0" tint="-0.24994659260841701"/>
        </patternFill>
      </fill>
    </dxf>
    <dxf>
      <font>
        <color theme="0" tint="-0.499984740745262"/>
      </font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ndense val="0"/>
        <extend val="0"/>
        <color indexed="55"/>
      </font>
    </dxf>
    <dxf>
      <font>
        <condense val="0"/>
        <extend val="0"/>
        <color indexed="55"/>
      </font>
      <fill>
        <patternFill patternType="none">
          <bgColor indexed="65"/>
        </patternFill>
      </fill>
    </dxf>
    <dxf>
      <font>
        <condense val="0"/>
        <extend val="0"/>
        <color indexed="23"/>
      </font>
      <fill>
        <patternFill>
          <bgColor indexed="22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15116949243901E-2"/>
          <c:y val="1.6079158936301793E-2"/>
          <c:w val="0.64632237871674458"/>
          <c:h val="0.91094619666048382"/>
        </c:manualLayout>
      </c:layout>
      <c:scatterChart>
        <c:scatterStyle val="lineMarker"/>
        <c:varyColors val="0"/>
        <c:ser>
          <c:idx val="4"/>
          <c:order val="0"/>
          <c:tx>
            <c:v>Static Envelope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Calculations!$L$94:$L$122</c:f>
              <c:numCache>
                <c:formatCode>0.00</c:formatCode>
                <c:ptCount val="29"/>
                <c:pt idx="0">
                  <c:v>-682.02064107814454</c:v>
                </c:pt>
                <c:pt idx="1">
                  <c:v>-679.03060785555317</c:v>
                </c:pt>
                <c:pt idx="2">
                  <c:v>-939.8231104451794</c:v>
                </c:pt>
                <c:pt idx="3">
                  <c:v>-945.88291110963121</c:v>
                </c:pt>
                <c:pt idx="4">
                  <c:v>-1225.6603085237896</c:v>
                </c:pt>
                <c:pt idx="5">
                  <c:v>-1463.171808559174</c:v>
                </c:pt>
                <c:pt idx="6">
                  <c:v>-1494.0688185259514</c:v>
                </c:pt>
                <c:pt idx="7">
                  <c:v>-1529.0409932027212</c:v>
                </c:pt>
                <c:pt idx="8">
                  <c:v>-1627.1140829037179</c:v>
                </c:pt>
                <c:pt idx="9">
                  <c:v>-1405.696258911187</c:v>
                </c:pt>
                <c:pt idx="10">
                  <c:v>-1225.7868572143739</c:v>
                </c:pt>
                <c:pt idx="11">
                  <c:v>-927.00940147627693</c:v>
                </c:pt>
                <c:pt idx="12">
                  <c:v>-625.44124806376135</c:v>
                </c:pt>
                <c:pt idx="13">
                  <c:v>-170.80297726575398</c:v>
                </c:pt>
                <c:pt idx="14">
                  <c:v>-170.80297726575398</c:v>
                </c:pt>
                <c:pt idx="15">
                  <c:v>-170.80297726575398</c:v>
                </c:pt>
                <c:pt idx="16">
                  <c:v>283.83529353225344</c:v>
                </c:pt>
                <c:pt idx="17">
                  <c:v>591.78218448629718</c:v>
                </c:pt>
                <c:pt idx="18">
                  <c:v>902.51977311475957</c:v>
                </c:pt>
                <c:pt idx="19">
                  <c:v>1092.3162180009415</c:v>
                </c:pt>
                <c:pt idx="20">
                  <c:v>1340.5247396678908</c:v>
                </c:pt>
                <c:pt idx="21">
                  <c:v>1438.5978293688875</c:v>
                </c:pt>
                <c:pt idx="22">
                  <c:v>1403.6256546921175</c:v>
                </c:pt>
                <c:pt idx="23">
                  <c:v>1434.5226646588949</c:v>
                </c:pt>
                <c:pt idx="24">
                  <c:v>1212.3998689424477</c:v>
                </c:pt>
                <c:pt idx="25">
                  <c:v>932.62247152828922</c:v>
                </c:pt>
                <c:pt idx="26">
                  <c:v>938.68227219274104</c:v>
                </c:pt>
                <c:pt idx="27">
                  <c:v>677.88976960311493</c:v>
                </c:pt>
                <c:pt idx="28">
                  <c:v>-682.02064107814454</c:v>
                </c:pt>
              </c:numCache>
            </c:numRef>
          </c:xVal>
          <c:yVal>
            <c:numRef>
              <c:f>Calculations!$M$94:$M$122</c:f>
              <c:numCache>
                <c:formatCode>0.00</c:formatCode>
                <c:ptCount val="29"/>
                <c:pt idx="0">
                  <c:v>76.475258028294093</c:v>
                </c:pt>
                <c:pt idx="1">
                  <c:v>1.5348837209302324</c:v>
                </c:pt>
                <c:pt idx="2">
                  <c:v>-8.8704318936877069</c:v>
                </c:pt>
                <c:pt idx="3">
                  <c:v>143.0087267025697</c:v>
                </c:pt>
                <c:pt idx="4">
                  <c:v>131.84593600489529</c:v>
                </c:pt>
                <c:pt idx="5">
                  <c:v>315.52306400656477</c:v>
                </c:pt>
                <c:pt idx="6">
                  <c:v>1089.9069318493246</c:v>
                </c:pt>
                <c:pt idx="7">
                  <c:v>1088.5115830121151</c:v>
                </c:pt>
                <c:pt idx="8">
                  <c:v>3546.5558602936499</c:v>
                </c:pt>
                <c:pt idx="9">
                  <c:v>3891.6575079547592</c:v>
                </c:pt>
                <c:pt idx="10">
                  <c:v>4022.9343420919927</c:v>
                </c:pt>
                <c:pt idx="11">
                  <c:v>4184.9745591452584</c:v>
                </c:pt>
                <c:pt idx="12">
                  <c:v>4277.0704268449854</c:v>
                </c:pt>
                <c:pt idx="13">
                  <c:v>4295.2099617287067</c:v>
                </c:pt>
                <c:pt idx="14">
                  <c:v>4295.2099617287067</c:v>
                </c:pt>
                <c:pt idx="15">
                  <c:v>4295.2099617287067</c:v>
                </c:pt>
                <c:pt idx="16">
                  <c:v>4313.3494966124272</c:v>
                </c:pt>
                <c:pt idx="17">
                  <c:v>4245.5725657897765</c:v>
                </c:pt>
                <c:pt idx="18">
                  <c:v>4107.8512856135876</c:v>
                </c:pt>
                <c:pt idx="19">
                  <c:v>3991.3252820411381</c:v>
                </c:pt>
                <c:pt idx="20">
                  <c:v>3664.9611759082677</c:v>
                </c:pt>
                <c:pt idx="21">
                  <c:v>1206.9168986267332</c:v>
                </c:pt>
                <c:pt idx="22">
                  <c:v>1205.5215497895238</c:v>
                </c:pt>
                <c:pt idx="23">
                  <c:v>431.13768194676413</c:v>
                </c:pt>
                <c:pt idx="24">
                  <c:v>229.12168351320094</c:v>
                </c:pt>
                <c:pt idx="25">
                  <c:v>217.9588928155265</c:v>
                </c:pt>
                <c:pt idx="26">
                  <c:v>66.079734219269099</c:v>
                </c:pt>
                <c:pt idx="27">
                  <c:v>55.674418604651159</c:v>
                </c:pt>
                <c:pt idx="28">
                  <c:v>76.475258028294093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B-4B9D-B51E-03D094215536}"/>
            </c:ext>
          </c:extLst>
        </c:ser>
        <c:ser>
          <c:idx val="0"/>
          <c:order val="1"/>
          <c:tx>
            <c:strRef>
              <c:f>Calculations!$D$92</c:f>
              <c:strCache>
                <c:ptCount val="1"/>
                <c:pt idx="0">
                  <c:v>KE1 (Body Roll, Positive TT)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Calculations!$D$94:$D$122</c:f>
              <c:numCache>
                <c:formatCode>0.00</c:formatCode>
                <c:ptCount val="29"/>
                <c:pt idx="0">
                  <c:v>-925.23586683336555</c:v>
                </c:pt>
                <c:pt idx="1">
                  <c:v>-919.13545141846294</c:v>
                </c:pt>
                <c:pt idx="2">
                  <c:v>-1179.2706290428173</c:v>
                </c:pt>
                <c:pt idx="3">
                  <c:v>-1191.6341376170201</c:v>
                </c:pt>
                <c:pt idx="4">
                  <c:v>-1470.7063588232238</c:v>
                </c:pt>
                <c:pt idx="5">
                  <c:v>-1715.6426571483837</c:v>
                </c:pt>
                <c:pt idx="6">
                  <c:v>-1778.6802831023779</c:v>
                </c:pt>
                <c:pt idx="7">
                  <c:v>-1813.5643107531534</c:v>
                </c:pt>
                <c:pt idx="8">
                  <c:v>-2013.6579363619605</c:v>
                </c:pt>
                <c:pt idx="9">
                  <c:v>-1806.7664689083745</c:v>
                </c:pt>
                <c:pt idx="10">
                  <c:v>-1632.4654857640571</c:v>
                </c:pt>
                <c:pt idx="11">
                  <c:v>-1340.6769327799623</c:v>
                </c:pt>
                <c:pt idx="12">
                  <c:v>-1043.1946587419575</c:v>
                </c:pt>
                <c:pt idx="13">
                  <c:v>-589.70229928187632</c:v>
                </c:pt>
                <c:pt idx="14">
                  <c:v>246.44826545737234</c:v>
                </c:pt>
                <c:pt idx="15">
                  <c:v>246.44826545737234</c:v>
                </c:pt>
                <c:pt idx="16">
                  <c:v>701.44762834007565</c:v>
                </c:pt>
                <c:pt idx="17">
                  <c:v>1006.3133233796727</c:v>
                </c:pt>
                <c:pt idx="18">
                  <c:v>1311.0618752727164</c:v>
                </c:pt>
                <c:pt idx="19">
                  <c:v>1495.8541055082726</c:v>
                </c:pt>
                <c:pt idx="20">
                  <c:v>1730.2914893442339</c:v>
                </c:pt>
                <c:pt idx="21">
                  <c:v>1726.1747444796415</c:v>
                </c:pt>
                <c:pt idx="22">
                  <c:v>1691.1747934886639</c:v>
                </c:pt>
                <c:pt idx="23">
                  <c:v>1689.8778515089648</c:v>
                </c:pt>
                <c:pt idx="24">
                  <c:v>1459.5551931784751</c:v>
                </c:pt>
                <c:pt idx="25">
                  <c:v>1179.5555852506575</c:v>
                </c:pt>
                <c:pt idx="26">
                  <c:v>1179.3012172752842</c:v>
                </c:pt>
                <c:pt idx="27">
                  <c:v>918.30158274256883</c:v>
                </c:pt>
                <c:pt idx="28">
                  <c:v>-925.23586683336555</c:v>
                </c:pt>
              </c:numCache>
            </c:numRef>
          </c:xVal>
          <c:yVal>
            <c:numRef>
              <c:f>Calculations!$E$94:$E$122</c:f>
              <c:numCache>
                <c:formatCode>0.00</c:formatCode>
                <c:ptCount val="29"/>
                <c:pt idx="0">
                  <c:v>143.1776494371527</c:v>
                </c:pt>
                <c:pt idx="1">
                  <c:v>68.42616161406238</c:v>
                </c:pt>
                <c:pt idx="2">
                  <c:v>47.19671597020124</c:v>
                </c:pt>
                <c:pt idx="3">
                  <c:v>198.69306462499748</c:v>
                </c:pt>
                <c:pt idx="4">
                  <c:v>175.91818040936107</c:v>
                </c:pt>
                <c:pt idx="5">
                  <c:v>349.57073513507856</c:v>
                </c:pt>
                <c:pt idx="6">
                  <c:v>1122.0027759736786</c:v>
                </c:pt>
                <c:pt idx="7">
                  <c:v>1119.1559154467236</c:v>
                </c:pt>
                <c:pt idx="8">
                  <c:v>3571.0047160440859</c:v>
                </c:pt>
                <c:pt idx="9">
                  <c:v>3925.0060164582251</c:v>
                </c:pt>
                <c:pt idx="10">
                  <c:v>4063.6428343491607</c:v>
                </c:pt>
                <c:pt idx="11">
                  <c:v>4237.9541660159448</c:v>
                </c:pt>
                <c:pt idx="12">
                  <c:v>4342.4974423811791</c:v>
                </c:pt>
                <c:pt idx="13">
                  <c:v>4379.5066292315896</c:v>
                </c:pt>
                <c:pt idx="14">
                  <c:v>4401.343923816682</c:v>
                </c:pt>
                <c:pt idx="15">
                  <c:v>4401.343923816682</c:v>
                </c:pt>
                <c:pt idx="16">
                  <c:v>4400.5824933640843</c:v>
                </c:pt>
                <c:pt idx="17">
                  <c:v>4320.0721959604389</c:v>
                </c:pt>
                <c:pt idx="18">
                  <c:v>4169.5619965748392</c:v>
                </c:pt>
                <c:pt idx="19">
                  <c:v>4045.2525776052012</c:v>
                </c:pt>
                <c:pt idx="20">
                  <c:v>3708.8597818141052</c:v>
                </c:pt>
                <c:pt idx="21">
                  <c:v>1248.8632264482812</c:v>
                </c:pt>
                <c:pt idx="22">
                  <c:v>1248.9217980215578</c:v>
                </c:pt>
                <c:pt idx="23">
                  <c:v>473.92288322134914</c:v>
                </c:pt>
                <c:pt idx="24">
                  <c:v>281.30805238120769</c:v>
                </c:pt>
                <c:pt idx="25">
                  <c:v>281.77662496742147</c:v>
                </c:pt>
                <c:pt idx="26">
                  <c:v>129.77683780660641</c:v>
                </c:pt>
                <c:pt idx="27">
                  <c:v>130.21361439589862</c:v>
                </c:pt>
                <c:pt idx="28">
                  <c:v>143.1776494371527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4B-4B9D-B51E-03D094215536}"/>
            </c:ext>
          </c:extLst>
        </c:ser>
        <c:ser>
          <c:idx val="3"/>
          <c:order val="2"/>
          <c:tx>
            <c:strRef>
              <c:f>Calculations!$F$92</c:f>
              <c:strCache>
                <c:ptCount val="1"/>
                <c:pt idx="0">
                  <c:v>KE2 (Bounce Positive TT)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Calculations!$F$94:$F$122</c:f>
              <c:numCache>
                <c:formatCode>0.00</c:formatCode>
                <c:ptCount val="29"/>
                <c:pt idx="0">
                  <c:v>-929.3028104433007</c:v>
                </c:pt>
                <c:pt idx="1">
                  <c:v>-923.20239502839809</c:v>
                </c:pt>
                <c:pt idx="2">
                  <c:v>-1183.3375726527524</c:v>
                </c:pt>
                <c:pt idx="3">
                  <c:v>-1195.7010812269552</c:v>
                </c:pt>
                <c:pt idx="4">
                  <c:v>-1474.773302433159</c:v>
                </c:pt>
                <c:pt idx="5">
                  <c:v>-1719.7096007583189</c:v>
                </c:pt>
                <c:pt idx="6">
                  <c:v>-1782.747226712313</c:v>
                </c:pt>
                <c:pt idx="7">
                  <c:v>-1817.6312543630886</c:v>
                </c:pt>
                <c:pt idx="8">
                  <c:v>-2017.7248799718957</c:v>
                </c:pt>
                <c:pt idx="9">
                  <c:v>-1810.8334125183096</c:v>
                </c:pt>
                <c:pt idx="10">
                  <c:v>-1636.5324293739923</c:v>
                </c:pt>
                <c:pt idx="11">
                  <c:v>-1344.7438763898974</c:v>
                </c:pt>
                <c:pt idx="12">
                  <c:v>-1047.2616023518926</c:v>
                </c:pt>
                <c:pt idx="13">
                  <c:v>-593.76924289181147</c:v>
                </c:pt>
                <c:pt idx="14">
                  <c:v>246.53193913348196</c:v>
                </c:pt>
                <c:pt idx="15">
                  <c:v>246.53193913348196</c:v>
                </c:pt>
                <c:pt idx="16">
                  <c:v>701.53130201618524</c:v>
                </c:pt>
                <c:pt idx="17">
                  <c:v>1006.3969970557823</c:v>
                </c:pt>
                <c:pt idx="18">
                  <c:v>1311.145548948826</c:v>
                </c:pt>
                <c:pt idx="19">
                  <c:v>1495.9377791843822</c:v>
                </c:pt>
                <c:pt idx="20">
                  <c:v>1730.3751630203435</c:v>
                </c:pt>
                <c:pt idx="21">
                  <c:v>1726.2584181557511</c:v>
                </c:pt>
                <c:pt idx="22">
                  <c:v>1691.2584671647735</c:v>
                </c:pt>
                <c:pt idx="23">
                  <c:v>1689.9615251850744</c:v>
                </c:pt>
                <c:pt idx="24">
                  <c:v>1459.6388668545846</c:v>
                </c:pt>
                <c:pt idx="25">
                  <c:v>1179.6392589267671</c:v>
                </c:pt>
                <c:pt idx="26">
                  <c:v>1179.3848909513938</c:v>
                </c:pt>
                <c:pt idx="27">
                  <c:v>918.38525641867841</c:v>
                </c:pt>
                <c:pt idx="28">
                  <c:v>-929.3028104433007</c:v>
                </c:pt>
              </c:numCache>
            </c:numRef>
          </c:xVal>
          <c:yVal>
            <c:numRef>
              <c:f>Calculations!$G$94:$G$122</c:f>
              <c:numCache>
                <c:formatCode>0.00</c:formatCode>
                <c:ptCount val="29"/>
                <c:pt idx="0">
                  <c:v>193.01197465254623</c:v>
                </c:pt>
                <c:pt idx="1">
                  <c:v>118.26048682945591</c:v>
                </c:pt>
                <c:pt idx="2">
                  <c:v>97.031041185594773</c:v>
                </c:pt>
                <c:pt idx="3">
                  <c:v>248.52738984039101</c:v>
                </c:pt>
                <c:pt idx="4">
                  <c:v>225.7525056247546</c:v>
                </c:pt>
                <c:pt idx="5">
                  <c:v>399.40506035047213</c:v>
                </c:pt>
                <c:pt idx="6">
                  <c:v>1171.8371011890722</c:v>
                </c:pt>
                <c:pt idx="7">
                  <c:v>1168.9902406621172</c:v>
                </c:pt>
                <c:pt idx="8">
                  <c:v>3620.8390412594795</c:v>
                </c:pt>
                <c:pt idx="9">
                  <c:v>3974.8403416736187</c:v>
                </c:pt>
                <c:pt idx="10">
                  <c:v>4113.4771595645543</c:v>
                </c:pt>
                <c:pt idx="11">
                  <c:v>4287.7884912313384</c:v>
                </c:pt>
                <c:pt idx="12">
                  <c:v>4392.3317675965727</c:v>
                </c:pt>
                <c:pt idx="13">
                  <c:v>4429.3409544469832</c:v>
                </c:pt>
                <c:pt idx="14">
                  <c:v>4451.3438538037926</c:v>
                </c:pt>
                <c:pt idx="15">
                  <c:v>4451.3438538037926</c:v>
                </c:pt>
                <c:pt idx="16">
                  <c:v>4450.5824233511948</c:v>
                </c:pt>
                <c:pt idx="17">
                  <c:v>4370.0721259475495</c:v>
                </c:pt>
                <c:pt idx="18">
                  <c:v>4219.5619265619498</c:v>
                </c:pt>
                <c:pt idx="19">
                  <c:v>4095.2525075923113</c:v>
                </c:pt>
                <c:pt idx="20">
                  <c:v>3758.8597118012153</c:v>
                </c:pt>
                <c:pt idx="21">
                  <c:v>1298.8631564353914</c:v>
                </c:pt>
                <c:pt idx="22">
                  <c:v>1298.9217280086682</c:v>
                </c:pt>
                <c:pt idx="23">
                  <c:v>523.92281320845939</c:v>
                </c:pt>
                <c:pt idx="24">
                  <c:v>331.30798236831794</c:v>
                </c:pt>
                <c:pt idx="25">
                  <c:v>331.77655495453172</c:v>
                </c:pt>
                <c:pt idx="26">
                  <c:v>179.77676779371666</c:v>
                </c:pt>
                <c:pt idx="27">
                  <c:v>180.21354438300887</c:v>
                </c:pt>
                <c:pt idx="28">
                  <c:v>193.01197465254623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4B-4B9D-B51E-03D094215536}"/>
            </c:ext>
          </c:extLst>
        </c:ser>
        <c:ser>
          <c:idx val="6"/>
          <c:order val="3"/>
          <c:tx>
            <c:strRef>
              <c:f>Calculations!$H$92</c:f>
              <c:strCache>
                <c:ptCount val="1"/>
                <c:pt idx="0">
                  <c:v>KE3 (Body Roll Negative TT)</c:v>
                </c:pt>
              </c:strCache>
            </c:strRef>
          </c:tx>
          <c:marker>
            <c:symbol val="none"/>
          </c:marker>
          <c:xVal>
            <c:numRef>
              <c:f>Calculations!$H$94:$H$122</c:f>
              <c:numCache>
                <c:formatCode>0.00</c:formatCode>
                <c:ptCount val="29"/>
                <c:pt idx="0">
                  <c:v>-925.23586683336555</c:v>
                </c:pt>
                <c:pt idx="1">
                  <c:v>-919.13545141846294</c:v>
                </c:pt>
                <c:pt idx="2">
                  <c:v>-1179.2706290428173</c:v>
                </c:pt>
                <c:pt idx="3">
                  <c:v>-1191.6341376170201</c:v>
                </c:pt>
                <c:pt idx="4">
                  <c:v>-1470.7063588232238</c:v>
                </c:pt>
                <c:pt idx="5">
                  <c:v>-1715.6426571483837</c:v>
                </c:pt>
                <c:pt idx="6">
                  <c:v>-1778.6802831023779</c:v>
                </c:pt>
                <c:pt idx="7">
                  <c:v>-1813.5643107531534</c:v>
                </c:pt>
                <c:pt idx="8">
                  <c:v>-2013.6579363619605</c:v>
                </c:pt>
                <c:pt idx="9">
                  <c:v>-1806.7664689083745</c:v>
                </c:pt>
                <c:pt idx="10">
                  <c:v>-1632.4654857640571</c:v>
                </c:pt>
                <c:pt idx="11">
                  <c:v>-1340.6769327799623</c:v>
                </c:pt>
                <c:pt idx="12">
                  <c:v>-1043.1946587419575</c:v>
                </c:pt>
                <c:pt idx="13">
                  <c:v>-589.70229928187632</c:v>
                </c:pt>
                <c:pt idx="14">
                  <c:v>246.44826545737234</c:v>
                </c:pt>
                <c:pt idx="15">
                  <c:v>246.44826545737234</c:v>
                </c:pt>
                <c:pt idx="16">
                  <c:v>701.44762834007565</c:v>
                </c:pt>
                <c:pt idx="17">
                  <c:v>1006.3133233796727</c:v>
                </c:pt>
                <c:pt idx="18">
                  <c:v>1311.0618752727164</c:v>
                </c:pt>
                <c:pt idx="19">
                  <c:v>1495.8541055082726</c:v>
                </c:pt>
                <c:pt idx="20">
                  <c:v>1730.2914893442339</c:v>
                </c:pt>
                <c:pt idx="21">
                  <c:v>1726.1747444796415</c:v>
                </c:pt>
                <c:pt idx="22">
                  <c:v>1691.1747934886639</c:v>
                </c:pt>
                <c:pt idx="23">
                  <c:v>1689.8778515089648</c:v>
                </c:pt>
                <c:pt idx="24">
                  <c:v>1459.5551931784751</c:v>
                </c:pt>
                <c:pt idx="25">
                  <c:v>1179.5555852506575</c:v>
                </c:pt>
                <c:pt idx="26">
                  <c:v>1179.3012172752842</c:v>
                </c:pt>
                <c:pt idx="27">
                  <c:v>918.30158274256883</c:v>
                </c:pt>
                <c:pt idx="28">
                  <c:v>-925.23586683336555</c:v>
                </c:pt>
              </c:numCache>
            </c:numRef>
          </c:xVal>
          <c:yVal>
            <c:numRef>
              <c:f>Calculations!$I$94:$I$122</c:f>
              <c:numCache>
                <c:formatCode>0.00</c:formatCode>
                <c:ptCount val="29"/>
                <c:pt idx="0">
                  <c:v>-106.67005731762117</c:v>
                </c:pt>
                <c:pt idx="1">
                  <c:v>-181.4215451407116</c:v>
                </c:pt>
                <c:pt idx="2">
                  <c:v>-202.65099078457274</c:v>
                </c:pt>
                <c:pt idx="3">
                  <c:v>-51.154642129776448</c:v>
                </c:pt>
                <c:pt idx="4">
                  <c:v>-73.92952634541291</c:v>
                </c:pt>
                <c:pt idx="5">
                  <c:v>99.72302838030464</c:v>
                </c:pt>
                <c:pt idx="6">
                  <c:v>872.1550692189046</c:v>
                </c:pt>
                <c:pt idx="7">
                  <c:v>869.30820869194963</c:v>
                </c:pt>
                <c:pt idx="8">
                  <c:v>3321.1570092893121</c:v>
                </c:pt>
                <c:pt idx="9">
                  <c:v>3675.1583097034513</c:v>
                </c:pt>
                <c:pt idx="10">
                  <c:v>3813.7951275943869</c:v>
                </c:pt>
                <c:pt idx="11">
                  <c:v>3988.106459261171</c:v>
                </c:pt>
                <c:pt idx="12">
                  <c:v>4092.6497356264049</c:v>
                </c:pt>
                <c:pt idx="13">
                  <c:v>4129.658922476815</c:v>
                </c:pt>
                <c:pt idx="14">
                  <c:v>4151.4962170619074</c:v>
                </c:pt>
                <c:pt idx="15">
                  <c:v>4151.4962170619074</c:v>
                </c:pt>
                <c:pt idx="16">
                  <c:v>4150.7347866093105</c:v>
                </c:pt>
                <c:pt idx="17">
                  <c:v>4070.2244892056656</c:v>
                </c:pt>
                <c:pt idx="18">
                  <c:v>3919.7142898200659</c:v>
                </c:pt>
                <c:pt idx="19">
                  <c:v>3795.4048708504274</c:v>
                </c:pt>
                <c:pt idx="20">
                  <c:v>3459.0120750593314</c:v>
                </c:pt>
                <c:pt idx="21">
                  <c:v>999.01551969350726</c:v>
                </c:pt>
                <c:pt idx="22">
                  <c:v>999.07409126678385</c:v>
                </c:pt>
                <c:pt idx="23">
                  <c:v>224.07517646657516</c:v>
                </c:pt>
                <c:pt idx="24">
                  <c:v>31.460345626433764</c:v>
                </c:pt>
                <c:pt idx="25">
                  <c:v>31.928918212647545</c:v>
                </c:pt>
                <c:pt idx="26">
                  <c:v>-120.07086894816757</c:v>
                </c:pt>
                <c:pt idx="27">
                  <c:v>-119.63409235887525</c:v>
                </c:pt>
                <c:pt idx="28">
                  <c:v>-106.67005731762117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4B-4B9D-B51E-03D094215536}"/>
            </c:ext>
          </c:extLst>
        </c:ser>
        <c:ser>
          <c:idx val="7"/>
          <c:order val="4"/>
          <c:tx>
            <c:strRef>
              <c:f>Calculations!$J$92</c:f>
              <c:strCache>
                <c:ptCount val="1"/>
                <c:pt idx="0">
                  <c:v>KE4 (Bounce, Negative TT)</c:v>
                </c:pt>
              </c:strCache>
            </c:strRef>
          </c:tx>
          <c:marker>
            <c:symbol val="none"/>
          </c:marker>
          <c:xVal>
            <c:numRef>
              <c:f>Calculations!$J$94:$J$122</c:f>
              <c:numCache>
                <c:formatCode>0.00</c:formatCode>
                <c:ptCount val="29"/>
                <c:pt idx="0">
                  <c:v>-929.3028104433007</c:v>
                </c:pt>
                <c:pt idx="1">
                  <c:v>-923.20239502839809</c:v>
                </c:pt>
                <c:pt idx="2">
                  <c:v>-1183.3375726527524</c:v>
                </c:pt>
                <c:pt idx="3">
                  <c:v>-1195.7010812269552</c:v>
                </c:pt>
                <c:pt idx="4">
                  <c:v>-1474.773302433159</c:v>
                </c:pt>
                <c:pt idx="5">
                  <c:v>-1719.7096007583189</c:v>
                </c:pt>
                <c:pt idx="6">
                  <c:v>-1782.747226712313</c:v>
                </c:pt>
                <c:pt idx="7">
                  <c:v>-1817.6312543630886</c:v>
                </c:pt>
                <c:pt idx="8">
                  <c:v>-2017.7248799718957</c:v>
                </c:pt>
                <c:pt idx="9">
                  <c:v>-1810.8334125183096</c:v>
                </c:pt>
                <c:pt idx="10">
                  <c:v>-1636.5324293739923</c:v>
                </c:pt>
                <c:pt idx="11">
                  <c:v>-1344.7438763898974</c:v>
                </c:pt>
                <c:pt idx="12">
                  <c:v>-1047.2616023518926</c:v>
                </c:pt>
                <c:pt idx="13">
                  <c:v>-593.76924289181147</c:v>
                </c:pt>
                <c:pt idx="14">
                  <c:v>246.53193913348196</c:v>
                </c:pt>
                <c:pt idx="15">
                  <c:v>246.53193913348196</c:v>
                </c:pt>
                <c:pt idx="16">
                  <c:v>701.53130201618524</c:v>
                </c:pt>
                <c:pt idx="17">
                  <c:v>1006.3969970557823</c:v>
                </c:pt>
                <c:pt idx="18">
                  <c:v>1311.145548948826</c:v>
                </c:pt>
                <c:pt idx="19">
                  <c:v>1495.9377791843822</c:v>
                </c:pt>
                <c:pt idx="20">
                  <c:v>1730.3751630203435</c:v>
                </c:pt>
                <c:pt idx="21">
                  <c:v>1726.2584181557511</c:v>
                </c:pt>
                <c:pt idx="22">
                  <c:v>1691.2584671647735</c:v>
                </c:pt>
                <c:pt idx="23">
                  <c:v>1689.9615251850744</c:v>
                </c:pt>
                <c:pt idx="24">
                  <c:v>1459.6388668545846</c:v>
                </c:pt>
                <c:pt idx="25">
                  <c:v>1179.6392589267671</c:v>
                </c:pt>
                <c:pt idx="26">
                  <c:v>1179.3848909513938</c:v>
                </c:pt>
                <c:pt idx="27">
                  <c:v>918.38525641867841</c:v>
                </c:pt>
                <c:pt idx="28">
                  <c:v>-929.3028104433007</c:v>
                </c:pt>
              </c:numCache>
            </c:numRef>
          </c:xVal>
          <c:yVal>
            <c:numRef>
              <c:f>Calculations!$K$94:$K$122</c:f>
              <c:numCache>
                <c:formatCode>0.00</c:formatCode>
                <c:ptCount val="29"/>
                <c:pt idx="0">
                  <c:v>-56.835732102227631</c:v>
                </c:pt>
                <c:pt idx="1">
                  <c:v>-131.58721992531807</c:v>
                </c:pt>
                <c:pt idx="2">
                  <c:v>-152.81666556917921</c:v>
                </c:pt>
                <c:pt idx="3">
                  <c:v>-1.3203169143829072</c:v>
                </c:pt>
                <c:pt idx="4">
                  <c:v>-24.095201130019369</c:v>
                </c:pt>
                <c:pt idx="5">
                  <c:v>149.55735359569817</c:v>
                </c:pt>
                <c:pt idx="6">
                  <c:v>921.98939443429811</c:v>
                </c:pt>
                <c:pt idx="7">
                  <c:v>919.14253390734314</c:v>
                </c:pt>
                <c:pt idx="8">
                  <c:v>3370.9913345047057</c:v>
                </c:pt>
                <c:pt idx="9">
                  <c:v>3724.9926349188449</c:v>
                </c:pt>
                <c:pt idx="10">
                  <c:v>3863.6294528097806</c:v>
                </c:pt>
                <c:pt idx="11">
                  <c:v>4037.9407844765647</c:v>
                </c:pt>
                <c:pt idx="12">
                  <c:v>4142.4840608417981</c:v>
                </c:pt>
                <c:pt idx="13">
                  <c:v>4179.4932476922086</c:v>
                </c:pt>
                <c:pt idx="14">
                  <c:v>4201.496147049018</c:v>
                </c:pt>
                <c:pt idx="15">
                  <c:v>4201.496147049018</c:v>
                </c:pt>
                <c:pt idx="16">
                  <c:v>4200.7347165964211</c:v>
                </c:pt>
                <c:pt idx="17">
                  <c:v>4120.2244191927757</c:v>
                </c:pt>
                <c:pt idx="18">
                  <c:v>3969.7142198071761</c:v>
                </c:pt>
                <c:pt idx="19">
                  <c:v>3845.4048008375376</c:v>
                </c:pt>
                <c:pt idx="20">
                  <c:v>3509.0120050464416</c:v>
                </c:pt>
                <c:pt idx="21">
                  <c:v>1049.0154496806176</c:v>
                </c:pt>
                <c:pt idx="22">
                  <c:v>1049.074021253894</c:v>
                </c:pt>
                <c:pt idx="23">
                  <c:v>274.07510645368541</c:v>
                </c:pt>
                <c:pt idx="24">
                  <c:v>81.460275613544013</c:v>
                </c:pt>
                <c:pt idx="25">
                  <c:v>81.928848199757795</c:v>
                </c:pt>
                <c:pt idx="26">
                  <c:v>-70.070938961057323</c:v>
                </c:pt>
                <c:pt idx="27">
                  <c:v>-69.634162371765001</c:v>
                </c:pt>
                <c:pt idx="28">
                  <c:v>-56.835732102227631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4B-4B9D-B51E-03D094215536}"/>
            </c:ext>
          </c:extLst>
        </c:ser>
        <c:ser>
          <c:idx val="2"/>
          <c:order val="5"/>
          <c:tx>
            <c:v>Structural Gauge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Calculations!$H$126:$H$131</c:f>
              <c:numCache>
                <c:formatCode>General</c:formatCode>
                <c:ptCount val="6"/>
                <c:pt idx="0">
                  <c:v>-2380.0033944809215</c:v>
                </c:pt>
                <c:pt idx="1">
                  <c:v>-2380.0033944809215</c:v>
                </c:pt>
                <c:pt idx="2">
                  <c:v>-1884.390154062803</c:v>
                </c:pt>
                <c:pt idx="3">
                  <c:v>1487.8466000558346</c:v>
                </c:pt>
                <c:pt idx="4">
                  <c:v>2062.2333596377161</c:v>
                </c:pt>
                <c:pt idx="5">
                  <c:v>2062.2333596377161</c:v>
                </c:pt>
              </c:numCache>
            </c:numRef>
          </c:xVal>
          <c:yVal>
            <c:numRef>
              <c:f>Calculations!$I$126:$I$131</c:f>
              <c:numCache>
                <c:formatCode>General</c:formatCode>
                <c:ptCount val="6"/>
                <c:pt idx="0">
                  <c:v>0</c:v>
                </c:pt>
                <c:pt idx="1">
                  <c:v>3800</c:v>
                </c:pt>
                <c:pt idx="2">
                  <c:v>4742</c:v>
                </c:pt>
                <c:pt idx="3">
                  <c:v>4742</c:v>
                </c:pt>
                <c:pt idx="4">
                  <c:v>3800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4B-4B9D-B51E-03D094215536}"/>
            </c:ext>
          </c:extLst>
        </c:ser>
        <c:ser>
          <c:idx val="1"/>
          <c:order val="6"/>
          <c:tx>
            <c:v>Proposed Rails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Calculations!$D$126:$D$127</c:f>
              <c:numCache>
                <c:formatCode>0.00</c:formatCode>
                <c:ptCount val="2"/>
                <c:pt idx="0">
                  <c:v>716.35916174756176</c:v>
                </c:pt>
                <c:pt idx="1">
                  <c:v>-717.5</c:v>
                </c:pt>
              </c:numCache>
            </c:numRef>
          </c:xVal>
          <c:yVal>
            <c:numRef>
              <c:f>Calculations!$E$126:$E$127</c:f>
              <c:numCache>
                <c:formatCode>0.00</c:formatCode>
                <c:ptCount val="2"/>
                <c:pt idx="0">
                  <c:v>57.209302325581397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4B-4B9D-B51E-03D094215536}"/>
            </c:ext>
          </c:extLst>
        </c:ser>
        <c:ser>
          <c:idx val="5"/>
          <c:order val="7"/>
          <c:tx>
            <c:v>Centreline</c:v>
          </c:tx>
          <c:spPr>
            <a:ln w="25400">
              <a:solidFill>
                <a:schemeClr val="bg1">
                  <a:lumMod val="50000"/>
                </a:schemeClr>
              </a:solidFill>
              <a:prstDash val="lgDashDotDot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bg1">
                    <a:lumMod val="50000"/>
                  </a:schemeClr>
                </a:solidFill>
                <a:prstDash val="lgDashDotDot"/>
              </a:ln>
            </c:spPr>
            <c:extLst>
              <c:ext xmlns:c16="http://schemas.microsoft.com/office/drawing/2014/chart" uri="{C3380CC4-5D6E-409C-BE32-E72D297353CC}">
                <c16:uniqueId val="{00000008-C74B-4B9D-B51E-03D094215536}"/>
              </c:ext>
            </c:extLst>
          </c:dPt>
          <c:xVal>
            <c:numRef>
              <c:f>Calculations!$D$131:$D$132</c:f>
              <c:numCache>
                <c:formatCode>General</c:formatCode>
                <c:ptCount val="2"/>
                <c:pt idx="0" formatCode="0.00">
                  <c:v>-0.57041912621912161</c:v>
                </c:pt>
                <c:pt idx="1">
                  <c:v>-279.64018656807957</c:v>
                </c:pt>
              </c:numCache>
            </c:numRef>
          </c:xVal>
          <c:yVal>
            <c:numRef>
              <c:f>Calculations!$E$131:$E$132</c:f>
              <c:numCache>
                <c:formatCode>General</c:formatCode>
                <c:ptCount val="2"/>
                <c:pt idx="0" formatCode="0.00">
                  <c:v>28.604651162790699</c:v>
                </c:pt>
                <c:pt idx="1">
                  <c:v>7023.0395865167502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4B-4B9D-B51E-03D094215536}"/>
            </c:ext>
          </c:extLst>
        </c:ser>
        <c:ser>
          <c:idx val="8"/>
          <c:order val="8"/>
          <c:tx>
            <c:v>Design Platform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Calculations!$H$136:$H$140</c:f>
            </c:numRef>
          </c:xVal>
          <c:yVal>
            <c:numRef>
              <c:f>Calculations!$I$136:$I$140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74B-4B9D-B51E-03D094215536}"/>
            </c:ext>
          </c:extLst>
        </c:ser>
        <c:ser>
          <c:idx val="9"/>
          <c:order val="9"/>
          <c:marker>
            <c:symbol val="none"/>
          </c:marker>
          <c:xVal>
            <c:numRef>
              <c:f>INPUT!$I$40:$I$42</c:f>
              <c:numCache>
                <c:formatCode>General</c:formatCode>
                <c:ptCount val="3"/>
                <c:pt idx="0">
                  <c:v>-10000</c:v>
                </c:pt>
                <c:pt idx="1">
                  <c:v>-1672</c:v>
                </c:pt>
                <c:pt idx="2">
                  <c:v>-1672</c:v>
                </c:pt>
              </c:numCache>
            </c:numRef>
          </c:xVal>
          <c:yVal>
            <c:numRef>
              <c:f>INPUT!$J$40:$J$42</c:f>
              <c:numCache>
                <c:formatCode>General</c:formatCode>
                <c:ptCount val="3"/>
                <c:pt idx="0">
                  <c:v>1379</c:v>
                </c:pt>
                <c:pt idx="1">
                  <c:v>1379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4B-4B9D-B51E-03D09421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97984"/>
        <c:axId val="120699520"/>
      </c:scatterChart>
      <c:valAx>
        <c:axId val="120697984"/>
        <c:scaling>
          <c:orientation val="minMax"/>
          <c:max val="2500"/>
          <c:min val="-25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3175">
            <a:solidFill>
              <a:schemeClr val="tx1"/>
            </a:solidFill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699520"/>
        <c:crossesAt val="0"/>
        <c:crossBetween val="midCat"/>
        <c:majorUnit val="500"/>
      </c:valAx>
      <c:valAx>
        <c:axId val="120699520"/>
        <c:scaling>
          <c:orientation val="minMax"/>
          <c:max val="63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chemeClr val="bg1">
                    <a:lumMod val="6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69798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1361502347417838"/>
          <c:y val="0.2504638218923933"/>
          <c:w val="0.28638518834288612"/>
          <c:h val="0.4505653918504154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Super Tolerance Cases</a:t>
            </a:r>
          </a:p>
        </c:rich>
      </c:tx>
      <c:layout>
        <c:manualLayout>
          <c:xMode val="edge"/>
          <c:yMode val="edge"/>
          <c:x val="0.37745166658089302"/>
          <c:y val="2.84629981024667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7581759315256258E-2"/>
          <c:y val="7.9696394686907104E-2"/>
          <c:w val="0.92647206659783909"/>
          <c:h val="0.89184060721062663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Calculations!$D$59:$D$86</c:f>
              <c:numCache>
                <c:formatCode>General</c:formatCode>
                <c:ptCount val="28"/>
                <c:pt idx="0">
                  <c:v>-679</c:v>
                </c:pt>
                <c:pt idx="1">
                  <c:v>-679</c:v>
                </c:pt>
                <c:pt idx="2">
                  <c:v>-940</c:v>
                </c:pt>
                <c:pt idx="3">
                  <c:v>-940</c:v>
                </c:pt>
                <c:pt idx="4">
                  <c:v>-1220</c:v>
                </c:pt>
                <c:pt idx="5">
                  <c:v>-1450</c:v>
                </c:pt>
                <c:pt idx="6">
                  <c:v>-1450</c:v>
                </c:pt>
                <c:pt idx="7">
                  <c:v>-1485</c:v>
                </c:pt>
                <c:pt idx="8">
                  <c:v>-1485</c:v>
                </c:pt>
                <c:pt idx="9">
                  <c:v>-1250</c:v>
                </c:pt>
                <c:pt idx="10">
                  <c:v>-1065</c:v>
                </c:pt>
                <c:pt idx="11">
                  <c:v>-760</c:v>
                </c:pt>
                <c:pt idx="12">
                  <c:v>-455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455</c:v>
                </c:pt>
                <c:pt idx="17">
                  <c:v>760</c:v>
                </c:pt>
                <c:pt idx="18">
                  <c:v>1065</c:v>
                </c:pt>
                <c:pt idx="19">
                  <c:v>1250</c:v>
                </c:pt>
                <c:pt idx="20">
                  <c:v>1485</c:v>
                </c:pt>
                <c:pt idx="21">
                  <c:v>1485</c:v>
                </c:pt>
                <c:pt idx="22">
                  <c:v>1450</c:v>
                </c:pt>
                <c:pt idx="23">
                  <c:v>1450</c:v>
                </c:pt>
                <c:pt idx="24">
                  <c:v>1220</c:v>
                </c:pt>
                <c:pt idx="25">
                  <c:v>940</c:v>
                </c:pt>
                <c:pt idx="26">
                  <c:v>940</c:v>
                </c:pt>
                <c:pt idx="27">
                  <c:v>679</c:v>
                </c:pt>
              </c:numCache>
            </c:numRef>
          </c:xVal>
          <c:yVal>
            <c:numRef>
              <c:f>Calculations!$E$59:$E$86</c:f>
              <c:numCache>
                <c:formatCode>General</c:formatCode>
                <c:ptCount val="28"/>
                <c:pt idx="0">
                  <c:v>75</c:v>
                </c:pt>
                <c:pt idx="1">
                  <c:v>0</c:v>
                </c:pt>
                <c:pt idx="2">
                  <c:v>0</c:v>
                </c:pt>
                <c:pt idx="3">
                  <c:v>152</c:v>
                </c:pt>
                <c:pt idx="4">
                  <c:v>152</c:v>
                </c:pt>
                <c:pt idx="5">
                  <c:v>345</c:v>
                </c:pt>
                <c:pt idx="6">
                  <c:v>1120</c:v>
                </c:pt>
                <c:pt idx="7">
                  <c:v>1120</c:v>
                </c:pt>
                <c:pt idx="8">
                  <c:v>3580</c:v>
                </c:pt>
                <c:pt idx="9">
                  <c:v>3916</c:v>
                </c:pt>
                <c:pt idx="10">
                  <c:v>4040</c:v>
                </c:pt>
                <c:pt idx="11">
                  <c:v>4190</c:v>
                </c:pt>
                <c:pt idx="12">
                  <c:v>4270</c:v>
                </c:pt>
                <c:pt idx="13">
                  <c:v>4270</c:v>
                </c:pt>
                <c:pt idx="14">
                  <c:v>4270</c:v>
                </c:pt>
                <c:pt idx="15">
                  <c:v>4270</c:v>
                </c:pt>
                <c:pt idx="16">
                  <c:v>4270</c:v>
                </c:pt>
                <c:pt idx="17">
                  <c:v>4190</c:v>
                </c:pt>
                <c:pt idx="18">
                  <c:v>4040</c:v>
                </c:pt>
                <c:pt idx="19">
                  <c:v>3916</c:v>
                </c:pt>
                <c:pt idx="20">
                  <c:v>3580</c:v>
                </c:pt>
                <c:pt idx="21">
                  <c:v>1120</c:v>
                </c:pt>
                <c:pt idx="22">
                  <c:v>1120</c:v>
                </c:pt>
                <c:pt idx="23">
                  <c:v>345</c:v>
                </c:pt>
                <c:pt idx="24">
                  <c:v>152</c:v>
                </c:pt>
                <c:pt idx="25">
                  <c:v>152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2-44F1-8B36-7CFA20F03A36}"/>
            </c:ext>
          </c:extLst>
        </c:ser>
        <c:ser>
          <c:idx val="1"/>
          <c:order val="1"/>
          <c:tx>
            <c:strRef>
              <c:f>Calculations!$F$56</c:f>
              <c:strCache>
                <c:ptCount val="1"/>
                <c:pt idx="0">
                  <c:v>Left fixed, +10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Calculations!$F$59:$F$86</c:f>
              <c:numCache>
                <c:formatCode>0.000</c:formatCode>
                <c:ptCount val="28"/>
                <c:pt idx="0">
                  <c:v>-679.49918876005677</c:v>
                </c:pt>
                <c:pt idx="1">
                  <c:v>-679.00084988962487</c:v>
                </c:pt>
                <c:pt idx="2">
                  <c:v>-939.99508830022012</c:v>
                </c:pt>
                <c:pt idx="3">
                  <c:v>-941.00505507762875</c:v>
                </c:pt>
                <c:pt idx="4">
                  <c:v>-1220.9988740621754</c:v>
                </c:pt>
                <c:pt idx="5">
                  <c:v>-1452.2761888260598</c:v>
                </c:pt>
                <c:pt idx="6">
                  <c:v>-1457.4256904871893</c:v>
                </c:pt>
                <c:pt idx="7">
                  <c:v>-1492.4249178602574</c:v>
                </c:pt>
                <c:pt idx="8">
                  <c:v>-1508.7704328104237</c:v>
                </c:pt>
                <c:pt idx="9">
                  <c:v>-1276.0081785879283</c:v>
                </c:pt>
                <c:pt idx="10">
                  <c:v>-1091.8361827389194</c:v>
                </c:pt>
                <c:pt idx="11">
                  <c:v>-787.83959337161627</c:v>
                </c:pt>
                <c:pt idx="12">
                  <c:v>-483.37788772524328</c:v>
                </c:pt>
                <c:pt idx="13">
                  <c:v>-28.387931875354948</c:v>
                </c:pt>
                <c:pt idx="14">
                  <c:v>-28.387931875354948</c:v>
                </c:pt>
                <c:pt idx="15">
                  <c:v>-28.387931875354948</c:v>
                </c:pt>
                <c:pt idx="16">
                  <c:v>426.60202397453344</c:v>
                </c:pt>
                <c:pt idx="17">
                  <c:v>732.12685254449434</c:v>
                </c:pt>
                <c:pt idx="18">
                  <c:v>1038.1167973935251</c:v>
                </c:pt>
                <c:pt idx="19">
                  <c:v>1223.9366337740958</c:v>
                </c:pt>
                <c:pt idx="20">
                  <c:v>1461.1640042756608</c:v>
                </c:pt>
                <c:pt idx="21">
                  <c:v>1477.509519225827</c:v>
                </c:pt>
                <c:pt idx="22">
                  <c:v>1442.5102918527589</c:v>
                </c:pt>
                <c:pt idx="23">
                  <c:v>1447.6597935138884</c:v>
                </c:pt>
                <c:pt idx="24">
                  <c:v>1218.9472628031601</c:v>
                </c:pt>
                <c:pt idx="25">
                  <c:v>938.95344381861332</c:v>
                </c:pt>
                <c:pt idx="26">
                  <c:v>939.96341059602196</c:v>
                </c:pt>
                <c:pt idx="27">
                  <c:v>678.96917218542671</c:v>
                </c:pt>
              </c:numCache>
            </c:numRef>
          </c:xVal>
          <c:yVal>
            <c:numRef>
              <c:f>Calculations!$G$59:$G$86</c:f>
              <c:numCache>
                <c:formatCode>0.000</c:formatCode>
                <c:ptCount val="28"/>
                <c:pt idx="0">
                  <c:v>75.254158324349092</c:v>
                </c:pt>
                <c:pt idx="1">
                  <c:v>0.25581395348837205</c:v>
                </c:pt>
                <c:pt idx="2">
                  <c:v>-1.4784053156146177</c:v>
                </c:pt>
                <c:pt idx="3">
                  <c:v>150.51823927599645</c:v>
                </c:pt>
                <c:pt idx="4">
                  <c:v>148.65777415971738</c:v>
                </c:pt>
                <c:pt idx="5">
                  <c:v>340.12527447140786</c:v>
                </c:pt>
                <c:pt idx="6">
                  <c:v>1115.1081663036352</c:v>
                </c:pt>
                <c:pt idx="7">
                  <c:v>1114.8756081641004</c:v>
                </c:pt>
                <c:pt idx="8">
                  <c:v>3574.821303528332</c:v>
                </c:pt>
                <c:pt idx="9">
                  <c:v>3912.3753481038084</c:v>
                </c:pt>
                <c:pt idx="10">
                  <c:v>4037.601846677363</c:v>
                </c:pt>
                <c:pt idx="11">
                  <c:v>4189.625113492174</c:v>
                </c:pt>
                <c:pt idx="12">
                  <c:v>4271.6499255608487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4274.673181374802</c:v>
                </c:pt>
                <c:pt idx="16">
                  <c:v>4277.6964371887561</c:v>
                </c:pt>
                <c:pt idx="17">
                  <c:v>4199.7247812662608</c:v>
                </c:pt>
                <c:pt idx="18">
                  <c:v>4051.7546705976288</c:v>
                </c:pt>
                <c:pt idx="19">
                  <c:v>3928.9866437848714</c:v>
                </c:pt>
                <c:pt idx="20">
                  <c:v>3594.5555227974351</c:v>
                </c:pt>
                <c:pt idx="21">
                  <c:v>1134.6098274332035</c:v>
                </c:pt>
                <c:pt idx="22">
                  <c:v>1134.3772692936684</c:v>
                </c:pt>
                <c:pt idx="23">
                  <c:v>359.39437746144108</c:v>
                </c:pt>
                <c:pt idx="24">
                  <c:v>164.87039874443499</c:v>
                </c:pt>
                <c:pt idx="25">
                  <c:v>163.00993362815592</c:v>
                </c:pt>
                <c:pt idx="26">
                  <c:v>11.013289036544849</c:v>
                </c:pt>
                <c:pt idx="27">
                  <c:v>9.2790697674418592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2-44F1-8B36-7CFA20F03A36}"/>
            </c:ext>
          </c:extLst>
        </c:ser>
        <c:ser>
          <c:idx val="2"/>
          <c:order val="2"/>
          <c:tx>
            <c:strRef>
              <c:f>Calculations!$H$56</c:f>
              <c:strCache>
                <c:ptCount val="1"/>
                <c:pt idx="0">
                  <c:v>Left fixed, -10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Calculations!$H$59:$H$86</c:f>
              <c:numCache>
                <c:formatCode>0.000</c:formatCode>
                <c:ptCount val="28"/>
                <c:pt idx="0">
                  <c:v>-678.50251101919298</c:v>
                </c:pt>
                <c:pt idx="1">
                  <c:v>-679.00084988962487</c:v>
                </c:pt>
                <c:pt idx="2">
                  <c:v>-939.99508830022012</c:v>
                </c:pt>
                <c:pt idx="3">
                  <c:v>-938.98512152281148</c:v>
                </c:pt>
                <c:pt idx="4">
                  <c:v>-1218.9789405073582</c:v>
                </c:pt>
                <c:pt idx="5">
                  <c:v>-1447.6914712180865</c:v>
                </c:pt>
                <c:pt idx="6">
                  <c:v>-1442.5419695569569</c:v>
                </c:pt>
                <c:pt idx="7">
                  <c:v>-1477.5411969300251</c:v>
                </c:pt>
                <c:pt idx="8">
                  <c:v>-1461.1956819798588</c:v>
                </c:pt>
                <c:pt idx="9">
                  <c:v>-1223.9683114782938</c:v>
                </c:pt>
                <c:pt idx="10">
                  <c:v>-1038.1484750977233</c:v>
                </c:pt>
                <c:pt idx="11">
                  <c:v>-732.15853024869261</c:v>
                </c:pt>
                <c:pt idx="12">
                  <c:v>-426.63370167873171</c:v>
                </c:pt>
                <c:pt idx="13">
                  <c:v>28.356254171156674</c:v>
                </c:pt>
                <c:pt idx="14">
                  <c:v>28.356254171156674</c:v>
                </c:pt>
                <c:pt idx="15">
                  <c:v>28.356254171156674</c:v>
                </c:pt>
                <c:pt idx="16">
                  <c:v>483.34621002104501</c:v>
                </c:pt>
                <c:pt idx="17">
                  <c:v>787.807915667418</c:v>
                </c:pt>
                <c:pt idx="18">
                  <c:v>1091.8045050347212</c:v>
                </c:pt>
                <c:pt idx="19">
                  <c:v>1275.9765008837303</c:v>
                </c:pt>
                <c:pt idx="20">
                  <c:v>1508.7387551062257</c:v>
                </c:pt>
                <c:pt idx="21">
                  <c:v>1492.3932401560594</c:v>
                </c:pt>
                <c:pt idx="22">
                  <c:v>1457.3940127829912</c:v>
                </c:pt>
                <c:pt idx="23">
                  <c:v>1452.2445111218617</c:v>
                </c:pt>
                <c:pt idx="24">
                  <c:v>1220.9671963579774</c:v>
                </c:pt>
                <c:pt idx="25">
                  <c:v>940.97337737343059</c:v>
                </c:pt>
                <c:pt idx="26">
                  <c:v>939.96341059602196</c:v>
                </c:pt>
                <c:pt idx="27">
                  <c:v>678.96917218542671</c:v>
                </c:pt>
              </c:numCache>
            </c:numRef>
          </c:xVal>
          <c:yVal>
            <c:numRef>
              <c:f>Calculations!$I$59:$I$86</c:f>
              <c:numCache>
                <c:formatCode>0.000</c:formatCode>
                <c:ptCount val="28"/>
                <c:pt idx="0">
                  <c:v>74.74253041737235</c:v>
                </c:pt>
                <c:pt idx="1">
                  <c:v>-0.25581395348837205</c:v>
                </c:pt>
                <c:pt idx="2">
                  <c:v>1.4784053156146177</c:v>
                </c:pt>
                <c:pt idx="3">
                  <c:v>153.4750499072257</c:v>
                </c:pt>
                <c:pt idx="4">
                  <c:v>155.33551502350477</c:v>
                </c:pt>
                <c:pt idx="5">
                  <c:v>349.8594937405108</c:v>
                </c:pt>
                <c:pt idx="6">
                  <c:v>1124.8423855727383</c:v>
                </c:pt>
                <c:pt idx="7">
                  <c:v>1125.0749437122731</c:v>
                </c:pt>
                <c:pt idx="8">
                  <c:v>3585.0206390765047</c:v>
                </c:pt>
                <c:pt idx="9">
                  <c:v>3919.451760063941</c:v>
                </c:pt>
                <c:pt idx="10">
                  <c:v>4042.2197868766989</c:v>
                </c:pt>
                <c:pt idx="11">
                  <c:v>4190.1898975453305</c:v>
                </c:pt>
                <c:pt idx="12">
                  <c:v>4268.1615534678258</c:v>
                </c:pt>
                <c:pt idx="13">
                  <c:v>4265.1382976538725</c:v>
                </c:pt>
                <c:pt idx="14">
                  <c:v>4265.1382976538725</c:v>
                </c:pt>
                <c:pt idx="15">
                  <c:v>4265.1382976538725</c:v>
                </c:pt>
                <c:pt idx="16">
                  <c:v>4262.1150418399184</c:v>
                </c:pt>
                <c:pt idx="17">
                  <c:v>4180.0902297712437</c:v>
                </c:pt>
                <c:pt idx="18">
                  <c:v>4028.0669629564331</c:v>
                </c:pt>
                <c:pt idx="19">
                  <c:v>3902.8404643828781</c:v>
                </c:pt>
                <c:pt idx="20">
                  <c:v>3565.2864198074017</c:v>
                </c:pt>
                <c:pt idx="21">
                  <c:v>1105.3407244431701</c:v>
                </c:pt>
                <c:pt idx="22">
                  <c:v>1105.5732825827051</c:v>
                </c:pt>
                <c:pt idx="23">
                  <c:v>330.59039075047758</c:v>
                </c:pt>
                <c:pt idx="24">
                  <c:v>139.12289043878715</c:v>
                </c:pt>
                <c:pt idx="25">
                  <c:v>140.98335555506623</c:v>
                </c:pt>
                <c:pt idx="26">
                  <c:v>-11.013289036544849</c:v>
                </c:pt>
                <c:pt idx="27">
                  <c:v>-9.2790697674418592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22-44F1-8B36-7CFA20F03A36}"/>
            </c:ext>
          </c:extLst>
        </c:ser>
        <c:ser>
          <c:idx val="3"/>
          <c:order val="3"/>
          <c:tx>
            <c:strRef>
              <c:f>Calculations!$J$56</c:f>
              <c:strCache>
                <c:ptCount val="1"/>
                <c:pt idx="0">
                  <c:v>Right fixed, +10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Calculations!$J$59:$J$86</c:f>
              <c:numCache>
                <c:formatCode>0.000</c:formatCode>
                <c:ptCount val="28"/>
                <c:pt idx="0">
                  <c:v>-678.47083331499482</c:v>
                </c:pt>
                <c:pt idx="1">
                  <c:v>-678.96917218542671</c:v>
                </c:pt>
                <c:pt idx="2">
                  <c:v>-939.96341059602196</c:v>
                </c:pt>
                <c:pt idx="3">
                  <c:v>-938.95344381861332</c:v>
                </c:pt>
                <c:pt idx="4">
                  <c:v>-1218.9472628031601</c:v>
                </c:pt>
                <c:pt idx="5">
                  <c:v>-1447.6597935138884</c:v>
                </c:pt>
                <c:pt idx="6">
                  <c:v>-1442.5102918527589</c:v>
                </c:pt>
                <c:pt idx="7">
                  <c:v>-1477.509519225827</c:v>
                </c:pt>
                <c:pt idx="8">
                  <c:v>-1461.1640042756608</c:v>
                </c:pt>
                <c:pt idx="9">
                  <c:v>-1223.9366337740958</c:v>
                </c:pt>
                <c:pt idx="10">
                  <c:v>-1038.1167973935251</c:v>
                </c:pt>
                <c:pt idx="11">
                  <c:v>-732.12685254449434</c:v>
                </c:pt>
                <c:pt idx="12">
                  <c:v>-426.60202397453344</c:v>
                </c:pt>
                <c:pt idx="13">
                  <c:v>28.387931875354948</c:v>
                </c:pt>
                <c:pt idx="14">
                  <c:v>28.387931875354948</c:v>
                </c:pt>
                <c:pt idx="15">
                  <c:v>28.387931875354948</c:v>
                </c:pt>
                <c:pt idx="16">
                  <c:v>483.37788772524328</c:v>
                </c:pt>
                <c:pt idx="17">
                  <c:v>787.83959337161627</c:v>
                </c:pt>
                <c:pt idx="18">
                  <c:v>1091.8361827389194</c:v>
                </c:pt>
                <c:pt idx="19">
                  <c:v>1276.0081785879283</c:v>
                </c:pt>
                <c:pt idx="20">
                  <c:v>1508.7704328104237</c:v>
                </c:pt>
                <c:pt idx="21">
                  <c:v>1492.4249178602574</c:v>
                </c:pt>
                <c:pt idx="22">
                  <c:v>1457.4256904871893</c:v>
                </c:pt>
                <c:pt idx="23">
                  <c:v>1452.2761888260598</c:v>
                </c:pt>
                <c:pt idx="24">
                  <c:v>1220.9988740621754</c:v>
                </c:pt>
                <c:pt idx="25">
                  <c:v>941.00505507762875</c:v>
                </c:pt>
                <c:pt idx="26">
                  <c:v>939.99508830022012</c:v>
                </c:pt>
                <c:pt idx="27">
                  <c:v>679.00084988962487</c:v>
                </c:pt>
              </c:numCache>
            </c:numRef>
          </c:xVal>
          <c:yVal>
            <c:numRef>
              <c:f>Calculations!$K$59:$K$86</c:f>
              <c:numCache>
                <c:formatCode>0.000</c:formatCode>
                <c:ptCount val="28"/>
                <c:pt idx="0">
                  <c:v>84.277414138302575</c:v>
                </c:pt>
                <c:pt idx="1">
                  <c:v>9.2790697674418592</c:v>
                </c:pt>
                <c:pt idx="2">
                  <c:v>11.013289036544849</c:v>
                </c:pt>
                <c:pt idx="3">
                  <c:v>163.00993362815592</c:v>
                </c:pt>
                <c:pt idx="4">
                  <c:v>164.87039874443499</c:v>
                </c:pt>
                <c:pt idx="5">
                  <c:v>359.39437746144108</c:v>
                </c:pt>
                <c:pt idx="6">
                  <c:v>1134.3772692936684</c:v>
                </c:pt>
                <c:pt idx="7">
                  <c:v>1134.6098274332035</c:v>
                </c:pt>
                <c:pt idx="8">
                  <c:v>3594.5555227974351</c:v>
                </c:pt>
                <c:pt idx="9">
                  <c:v>3928.9866437848714</c:v>
                </c:pt>
                <c:pt idx="10">
                  <c:v>4051.7546705976288</c:v>
                </c:pt>
                <c:pt idx="11">
                  <c:v>4199.7247812662608</c:v>
                </c:pt>
                <c:pt idx="12">
                  <c:v>4277.6964371887561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4274.673181374802</c:v>
                </c:pt>
                <c:pt idx="16">
                  <c:v>4271.6499255608487</c:v>
                </c:pt>
                <c:pt idx="17">
                  <c:v>4189.625113492174</c:v>
                </c:pt>
                <c:pt idx="18">
                  <c:v>4037.601846677363</c:v>
                </c:pt>
                <c:pt idx="19">
                  <c:v>3912.3753481038084</c:v>
                </c:pt>
                <c:pt idx="20">
                  <c:v>3574.821303528332</c:v>
                </c:pt>
                <c:pt idx="21">
                  <c:v>1114.8756081641004</c:v>
                </c:pt>
                <c:pt idx="22">
                  <c:v>1115.1081663036352</c:v>
                </c:pt>
                <c:pt idx="23">
                  <c:v>340.12527447140786</c:v>
                </c:pt>
                <c:pt idx="24">
                  <c:v>148.65777415971738</c:v>
                </c:pt>
                <c:pt idx="25">
                  <c:v>150.51823927599645</c:v>
                </c:pt>
                <c:pt idx="26">
                  <c:v>-1.4784053156146177</c:v>
                </c:pt>
                <c:pt idx="27">
                  <c:v>0.25581395348837205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2-44F1-8B36-7CFA20F03A36}"/>
            </c:ext>
          </c:extLst>
        </c:ser>
        <c:ser>
          <c:idx val="4"/>
          <c:order val="4"/>
          <c:tx>
            <c:strRef>
              <c:f>Calculations!$L$56</c:f>
              <c:strCache>
                <c:ptCount val="1"/>
                <c:pt idx="0">
                  <c:v>Right fixed, -10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Calculations!$L$59:$L$86</c:f>
              <c:numCache>
                <c:formatCode>0.000</c:formatCode>
                <c:ptCount val="28"/>
                <c:pt idx="0">
                  <c:v>-679.46751105585861</c:v>
                </c:pt>
                <c:pt idx="1">
                  <c:v>-678.96917218542671</c:v>
                </c:pt>
                <c:pt idx="2">
                  <c:v>-939.96341059602196</c:v>
                </c:pt>
                <c:pt idx="3">
                  <c:v>-940.97337737343059</c:v>
                </c:pt>
                <c:pt idx="4">
                  <c:v>-1220.9671963579774</c:v>
                </c:pt>
                <c:pt idx="5">
                  <c:v>-1452.2445111218617</c:v>
                </c:pt>
                <c:pt idx="6">
                  <c:v>-1457.3940127829912</c:v>
                </c:pt>
                <c:pt idx="7">
                  <c:v>-1492.3932401560594</c:v>
                </c:pt>
                <c:pt idx="8">
                  <c:v>-1508.7387551062257</c:v>
                </c:pt>
                <c:pt idx="9">
                  <c:v>-1275.9765008837303</c:v>
                </c:pt>
                <c:pt idx="10">
                  <c:v>-1091.8045050347212</c:v>
                </c:pt>
                <c:pt idx="11">
                  <c:v>-787.807915667418</c:v>
                </c:pt>
                <c:pt idx="12">
                  <c:v>-483.34621002104501</c:v>
                </c:pt>
                <c:pt idx="13">
                  <c:v>-28.356254171156674</c:v>
                </c:pt>
                <c:pt idx="14">
                  <c:v>-28.356254171156674</c:v>
                </c:pt>
                <c:pt idx="15">
                  <c:v>-28.356254171156674</c:v>
                </c:pt>
                <c:pt idx="16">
                  <c:v>426.63370167873171</c:v>
                </c:pt>
                <c:pt idx="17">
                  <c:v>732.15853024869261</c:v>
                </c:pt>
                <c:pt idx="18">
                  <c:v>1038.1484750977233</c:v>
                </c:pt>
                <c:pt idx="19">
                  <c:v>1223.9683114782938</c:v>
                </c:pt>
                <c:pt idx="20">
                  <c:v>1461.1956819798588</c:v>
                </c:pt>
                <c:pt idx="21">
                  <c:v>1477.5411969300251</c:v>
                </c:pt>
                <c:pt idx="22">
                  <c:v>1442.5419695569569</c:v>
                </c:pt>
                <c:pt idx="23">
                  <c:v>1447.6914712180865</c:v>
                </c:pt>
                <c:pt idx="24">
                  <c:v>1218.9789405073582</c:v>
                </c:pt>
                <c:pt idx="25">
                  <c:v>938.98512152281148</c:v>
                </c:pt>
                <c:pt idx="26">
                  <c:v>939.99508830022012</c:v>
                </c:pt>
                <c:pt idx="27">
                  <c:v>679.00084988962487</c:v>
                </c:pt>
              </c:numCache>
            </c:numRef>
          </c:xVal>
          <c:yVal>
            <c:numRef>
              <c:f>Calculations!$M$59:$M$86</c:f>
              <c:numCache>
                <c:formatCode>0.000</c:formatCode>
                <c:ptCount val="28"/>
                <c:pt idx="0">
                  <c:v>65.719274603418867</c:v>
                </c:pt>
                <c:pt idx="1">
                  <c:v>-9.2790697674418592</c:v>
                </c:pt>
                <c:pt idx="2">
                  <c:v>-11.013289036544849</c:v>
                </c:pt>
                <c:pt idx="3">
                  <c:v>140.98335555506623</c:v>
                </c:pt>
                <c:pt idx="4">
                  <c:v>139.12289043878715</c:v>
                </c:pt>
                <c:pt idx="5">
                  <c:v>330.59039075047758</c:v>
                </c:pt>
                <c:pt idx="6">
                  <c:v>1105.5732825827051</c:v>
                </c:pt>
                <c:pt idx="7">
                  <c:v>1105.3407244431701</c:v>
                </c:pt>
                <c:pt idx="8">
                  <c:v>3565.2864198074017</c:v>
                </c:pt>
                <c:pt idx="9">
                  <c:v>3902.8404643828781</c:v>
                </c:pt>
                <c:pt idx="10">
                  <c:v>4028.0669629564331</c:v>
                </c:pt>
                <c:pt idx="11">
                  <c:v>4180.0902297712437</c:v>
                </c:pt>
                <c:pt idx="12">
                  <c:v>4262.1150418399184</c:v>
                </c:pt>
                <c:pt idx="13">
                  <c:v>4265.1382976538725</c:v>
                </c:pt>
                <c:pt idx="14">
                  <c:v>4265.1382976538725</c:v>
                </c:pt>
                <c:pt idx="15">
                  <c:v>4265.1382976538725</c:v>
                </c:pt>
                <c:pt idx="16">
                  <c:v>4268.1615534678258</c:v>
                </c:pt>
                <c:pt idx="17">
                  <c:v>4190.1898975453305</c:v>
                </c:pt>
                <c:pt idx="18">
                  <c:v>4042.2197868766989</c:v>
                </c:pt>
                <c:pt idx="19">
                  <c:v>3919.451760063941</c:v>
                </c:pt>
                <c:pt idx="20">
                  <c:v>3585.0206390765047</c:v>
                </c:pt>
                <c:pt idx="21">
                  <c:v>1125.0749437122731</c:v>
                </c:pt>
                <c:pt idx="22">
                  <c:v>1124.8423855727383</c:v>
                </c:pt>
                <c:pt idx="23">
                  <c:v>349.8594937405108</c:v>
                </c:pt>
                <c:pt idx="24">
                  <c:v>155.33551502350477</c:v>
                </c:pt>
                <c:pt idx="25">
                  <c:v>153.4750499072257</c:v>
                </c:pt>
                <c:pt idx="26">
                  <c:v>1.4784053156146177</c:v>
                </c:pt>
                <c:pt idx="27">
                  <c:v>-0.25581395348837205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2-44F1-8B36-7CFA20F03A36}"/>
            </c:ext>
          </c:extLst>
        </c:ser>
        <c:ser>
          <c:idx val="5"/>
          <c:order val="5"/>
          <c:tx>
            <c:v>Combined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Calculations!$N$59:$N$86</c:f>
              <c:numCache>
                <c:formatCode>0.000</c:formatCode>
                <c:ptCount val="28"/>
                <c:pt idx="0">
                  <c:v>-679.46751105585861</c:v>
                </c:pt>
                <c:pt idx="1">
                  <c:v>-678.96917218542671</c:v>
                </c:pt>
                <c:pt idx="2">
                  <c:v>-939.96341059602196</c:v>
                </c:pt>
                <c:pt idx="3">
                  <c:v>-940.97337737343059</c:v>
                </c:pt>
                <c:pt idx="4">
                  <c:v>-1220.9671963579774</c:v>
                </c:pt>
                <c:pt idx="5">
                  <c:v>-1452.2445111218617</c:v>
                </c:pt>
                <c:pt idx="6">
                  <c:v>-1457.3940127829912</c:v>
                </c:pt>
                <c:pt idx="7">
                  <c:v>-1492.3932401560594</c:v>
                </c:pt>
                <c:pt idx="8">
                  <c:v>-1508.7704328104237</c:v>
                </c:pt>
                <c:pt idx="9">
                  <c:v>-1276.0081785879283</c:v>
                </c:pt>
                <c:pt idx="10">
                  <c:v>-1091.8361827389194</c:v>
                </c:pt>
                <c:pt idx="11">
                  <c:v>-787.83959337161627</c:v>
                </c:pt>
                <c:pt idx="12">
                  <c:v>-483.37788772524328</c:v>
                </c:pt>
                <c:pt idx="13">
                  <c:v>-28.387931875354948</c:v>
                </c:pt>
                <c:pt idx="14">
                  <c:v>28.387931875354948</c:v>
                </c:pt>
                <c:pt idx="15">
                  <c:v>28.387931875354948</c:v>
                </c:pt>
                <c:pt idx="16">
                  <c:v>483.37788772524328</c:v>
                </c:pt>
                <c:pt idx="17">
                  <c:v>787.83959337161627</c:v>
                </c:pt>
                <c:pt idx="18">
                  <c:v>1091.8361827389194</c:v>
                </c:pt>
                <c:pt idx="19">
                  <c:v>1276.0081785879283</c:v>
                </c:pt>
                <c:pt idx="20">
                  <c:v>1508.7704328104237</c:v>
                </c:pt>
                <c:pt idx="21">
                  <c:v>1492.3932401560594</c:v>
                </c:pt>
                <c:pt idx="22">
                  <c:v>1457.3940127829912</c:v>
                </c:pt>
                <c:pt idx="23">
                  <c:v>1452.2445111218617</c:v>
                </c:pt>
                <c:pt idx="24">
                  <c:v>1220.9671963579774</c:v>
                </c:pt>
                <c:pt idx="25">
                  <c:v>940.97337737343059</c:v>
                </c:pt>
                <c:pt idx="26">
                  <c:v>939.96341059602196</c:v>
                </c:pt>
                <c:pt idx="27">
                  <c:v>678.96917218542671</c:v>
                </c:pt>
              </c:numCache>
            </c:numRef>
          </c:xVal>
          <c:yVal>
            <c:numRef>
              <c:f>Calculations!$O$59:$O$86</c:f>
              <c:numCache>
                <c:formatCode>0.000</c:formatCode>
                <c:ptCount val="28"/>
                <c:pt idx="0">
                  <c:v>65.719274603418867</c:v>
                </c:pt>
                <c:pt idx="1">
                  <c:v>-9.2790697674418592</c:v>
                </c:pt>
                <c:pt idx="2">
                  <c:v>-11.013289036544849</c:v>
                </c:pt>
                <c:pt idx="3">
                  <c:v>140.98335555506623</c:v>
                </c:pt>
                <c:pt idx="4">
                  <c:v>139.12289043878715</c:v>
                </c:pt>
                <c:pt idx="5">
                  <c:v>330.59039075047758</c:v>
                </c:pt>
                <c:pt idx="6">
                  <c:v>1105.5732825827051</c:v>
                </c:pt>
                <c:pt idx="7">
                  <c:v>1105.3407244431701</c:v>
                </c:pt>
                <c:pt idx="8">
                  <c:v>3574.821303528332</c:v>
                </c:pt>
                <c:pt idx="9">
                  <c:v>3912.3753481038084</c:v>
                </c:pt>
                <c:pt idx="10">
                  <c:v>4037.601846677363</c:v>
                </c:pt>
                <c:pt idx="11">
                  <c:v>4189.625113492174</c:v>
                </c:pt>
                <c:pt idx="12">
                  <c:v>4271.6499255608487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4274.673181374802</c:v>
                </c:pt>
                <c:pt idx="16">
                  <c:v>4271.6499255608487</c:v>
                </c:pt>
                <c:pt idx="17">
                  <c:v>4189.625113492174</c:v>
                </c:pt>
                <c:pt idx="18">
                  <c:v>4037.601846677363</c:v>
                </c:pt>
                <c:pt idx="19">
                  <c:v>3912.3753481038084</c:v>
                </c:pt>
                <c:pt idx="20">
                  <c:v>3574.821303528332</c:v>
                </c:pt>
                <c:pt idx="21">
                  <c:v>1105.3407244431701</c:v>
                </c:pt>
                <c:pt idx="22">
                  <c:v>1105.5732825827051</c:v>
                </c:pt>
                <c:pt idx="23">
                  <c:v>330.59039075047758</c:v>
                </c:pt>
                <c:pt idx="24">
                  <c:v>139.12289043878715</c:v>
                </c:pt>
                <c:pt idx="25">
                  <c:v>140.98335555506623</c:v>
                </c:pt>
                <c:pt idx="26">
                  <c:v>-11.013289036544849</c:v>
                </c:pt>
                <c:pt idx="27">
                  <c:v>-9.2790697674418592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22-44F1-8B36-7CFA20F03A36}"/>
            </c:ext>
          </c:extLst>
        </c:ser>
        <c:ser>
          <c:idx val="6"/>
          <c:order val="6"/>
          <c:tx>
            <c:v>New Combined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Calculations!$F$310:$F$337</c:f>
              <c:numCache>
                <c:formatCode>General</c:formatCode>
                <c:ptCount val="28"/>
              </c:numCache>
            </c:numRef>
          </c:xVal>
          <c:yVal>
            <c:numRef>
              <c:f>Calculations!$O$59:$O$86</c:f>
              <c:numCache>
                <c:formatCode>0.000</c:formatCode>
                <c:ptCount val="28"/>
                <c:pt idx="0">
                  <c:v>65.719274603418867</c:v>
                </c:pt>
                <c:pt idx="1">
                  <c:v>-9.2790697674418592</c:v>
                </c:pt>
                <c:pt idx="2">
                  <c:v>-11.013289036544849</c:v>
                </c:pt>
                <c:pt idx="3">
                  <c:v>140.98335555506623</c:v>
                </c:pt>
                <c:pt idx="4">
                  <c:v>139.12289043878715</c:v>
                </c:pt>
                <c:pt idx="5">
                  <c:v>330.59039075047758</c:v>
                </c:pt>
                <c:pt idx="6">
                  <c:v>1105.5732825827051</c:v>
                </c:pt>
                <c:pt idx="7">
                  <c:v>1105.3407244431701</c:v>
                </c:pt>
                <c:pt idx="8">
                  <c:v>3574.821303528332</c:v>
                </c:pt>
                <c:pt idx="9">
                  <c:v>3912.3753481038084</c:v>
                </c:pt>
                <c:pt idx="10">
                  <c:v>4037.601846677363</c:v>
                </c:pt>
                <c:pt idx="11">
                  <c:v>4189.625113492174</c:v>
                </c:pt>
                <c:pt idx="12">
                  <c:v>4271.6499255608487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4274.673181374802</c:v>
                </c:pt>
                <c:pt idx="16">
                  <c:v>4271.6499255608487</c:v>
                </c:pt>
                <c:pt idx="17">
                  <c:v>4189.625113492174</c:v>
                </c:pt>
                <c:pt idx="18">
                  <c:v>4037.601846677363</c:v>
                </c:pt>
                <c:pt idx="19">
                  <c:v>3912.3753481038084</c:v>
                </c:pt>
                <c:pt idx="20">
                  <c:v>3574.821303528332</c:v>
                </c:pt>
                <c:pt idx="21">
                  <c:v>1105.3407244431701</c:v>
                </c:pt>
                <c:pt idx="22">
                  <c:v>1105.5732825827051</c:v>
                </c:pt>
                <c:pt idx="23">
                  <c:v>330.59039075047758</c:v>
                </c:pt>
                <c:pt idx="24">
                  <c:v>139.12289043878715</c:v>
                </c:pt>
                <c:pt idx="25">
                  <c:v>140.98335555506623</c:v>
                </c:pt>
                <c:pt idx="26">
                  <c:v>-11.013289036544849</c:v>
                </c:pt>
                <c:pt idx="27">
                  <c:v>-9.2790697674418592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22-44F1-8B36-7CFA20F03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44640"/>
        <c:axId val="167746560"/>
      </c:scatterChart>
      <c:valAx>
        <c:axId val="16774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46560"/>
        <c:crosses val="autoZero"/>
        <c:crossBetween val="midCat"/>
      </c:valAx>
      <c:valAx>
        <c:axId val="167746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4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594857015422093"/>
          <c:y val="0.30550284629981023"/>
          <c:w val="0.19444478753881256"/>
          <c:h val="0.229601518026565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Final profiles</a:t>
            </a:r>
          </a:p>
        </c:rich>
      </c:tx>
      <c:layout>
        <c:manualLayout>
          <c:xMode val="edge"/>
          <c:yMode val="edge"/>
          <c:x val="0.45622568093385213"/>
          <c:y val="2.71493212669683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2373540856031156E-2"/>
          <c:y val="0.12518872134933737"/>
          <c:w val="0.6731517509727627"/>
          <c:h val="0.85067998603646255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INPUT!$C$4</c:f>
              <c:strCache>
                <c:ptCount val="1"/>
                <c:pt idx="0">
                  <c:v>Narrow Non-Electric</c:v>
                </c:pt>
              </c:strCache>
            </c:strRef>
          </c:tx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Calculations!$D$23:$D$50</c:f>
              <c:numCache>
                <c:formatCode>General</c:formatCode>
                <c:ptCount val="28"/>
                <c:pt idx="0">
                  <c:v>-679</c:v>
                </c:pt>
                <c:pt idx="1">
                  <c:v>-679</c:v>
                </c:pt>
                <c:pt idx="2">
                  <c:v>-940</c:v>
                </c:pt>
                <c:pt idx="3">
                  <c:v>-940</c:v>
                </c:pt>
                <c:pt idx="4">
                  <c:v>-1220</c:v>
                </c:pt>
                <c:pt idx="5">
                  <c:v>-1450</c:v>
                </c:pt>
                <c:pt idx="6">
                  <c:v>-1450</c:v>
                </c:pt>
                <c:pt idx="7">
                  <c:v>-1485</c:v>
                </c:pt>
                <c:pt idx="8">
                  <c:v>-1485</c:v>
                </c:pt>
                <c:pt idx="9">
                  <c:v>-1250</c:v>
                </c:pt>
                <c:pt idx="10">
                  <c:v>-1065</c:v>
                </c:pt>
                <c:pt idx="11">
                  <c:v>-760</c:v>
                </c:pt>
                <c:pt idx="12">
                  <c:v>-455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455</c:v>
                </c:pt>
                <c:pt idx="17">
                  <c:v>760</c:v>
                </c:pt>
                <c:pt idx="18">
                  <c:v>1065</c:v>
                </c:pt>
                <c:pt idx="19">
                  <c:v>1250</c:v>
                </c:pt>
                <c:pt idx="20">
                  <c:v>1485</c:v>
                </c:pt>
                <c:pt idx="21">
                  <c:v>1485</c:v>
                </c:pt>
                <c:pt idx="22">
                  <c:v>1450</c:v>
                </c:pt>
                <c:pt idx="23">
                  <c:v>1450</c:v>
                </c:pt>
                <c:pt idx="24">
                  <c:v>1220</c:v>
                </c:pt>
                <c:pt idx="25">
                  <c:v>940</c:v>
                </c:pt>
                <c:pt idx="26">
                  <c:v>940</c:v>
                </c:pt>
                <c:pt idx="27">
                  <c:v>679</c:v>
                </c:pt>
              </c:numCache>
            </c:numRef>
          </c:xVal>
          <c:yVal>
            <c:numRef>
              <c:f>Calculations!$E$23:$E$50</c:f>
              <c:numCache>
                <c:formatCode>General</c:formatCode>
                <c:ptCount val="28"/>
                <c:pt idx="0">
                  <c:v>75</c:v>
                </c:pt>
                <c:pt idx="1">
                  <c:v>0</c:v>
                </c:pt>
                <c:pt idx="2">
                  <c:v>0</c:v>
                </c:pt>
                <c:pt idx="3">
                  <c:v>152</c:v>
                </c:pt>
                <c:pt idx="4">
                  <c:v>152</c:v>
                </c:pt>
                <c:pt idx="5">
                  <c:v>345</c:v>
                </c:pt>
                <c:pt idx="6">
                  <c:v>1120</c:v>
                </c:pt>
                <c:pt idx="7">
                  <c:v>1120</c:v>
                </c:pt>
                <c:pt idx="8">
                  <c:v>3580</c:v>
                </c:pt>
                <c:pt idx="9">
                  <c:v>3916</c:v>
                </c:pt>
                <c:pt idx="10">
                  <c:v>4040</c:v>
                </c:pt>
                <c:pt idx="11">
                  <c:v>4190</c:v>
                </c:pt>
                <c:pt idx="12">
                  <c:v>4270</c:v>
                </c:pt>
                <c:pt idx="13">
                  <c:v>4270</c:v>
                </c:pt>
                <c:pt idx="14">
                  <c:v>4270</c:v>
                </c:pt>
                <c:pt idx="15">
                  <c:v>4270</c:v>
                </c:pt>
                <c:pt idx="16">
                  <c:v>4270</c:v>
                </c:pt>
                <c:pt idx="17">
                  <c:v>4190</c:v>
                </c:pt>
                <c:pt idx="18">
                  <c:v>4040</c:v>
                </c:pt>
                <c:pt idx="19">
                  <c:v>3916</c:v>
                </c:pt>
                <c:pt idx="20">
                  <c:v>3580</c:v>
                </c:pt>
                <c:pt idx="21">
                  <c:v>1120</c:v>
                </c:pt>
                <c:pt idx="22">
                  <c:v>1120</c:v>
                </c:pt>
                <c:pt idx="23">
                  <c:v>345</c:v>
                </c:pt>
                <c:pt idx="24">
                  <c:v>152</c:v>
                </c:pt>
                <c:pt idx="25">
                  <c:v>152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C4-46A4-844E-76713103D5C5}"/>
            </c:ext>
          </c:extLst>
        </c:ser>
        <c:ser>
          <c:idx val="1"/>
          <c:order val="1"/>
          <c:tx>
            <c:v>Super Elevation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Calculations!$J$23:$J$50</c:f>
              <c:numCache>
                <c:formatCode>0.000</c:formatCode>
                <c:ptCount val="28"/>
                <c:pt idx="0">
                  <c:v>-682.02064107814454</c:v>
                </c:pt>
                <c:pt idx="1">
                  <c:v>-679.03060785555317</c:v>
                </c:pt>
                <c:pt idx="2">
                  <c:v>-939.8231104451794</c:v>
                </c:pt>
                <c:pt idx="3">
                  <c:v>-945.88291110963121</c:v>
                </c:pt>
                <c:pt idx="4">
                  <c:v>-1225.6603085237896</c:v>
                </c:pt>
                <c:pt idx="5">
                  <c:v>-1463.171808559174</c:v>
                </c:pt>
                <c:pt idx="6">
                  <c:v>-1494.0688185259514</c:v>
                </c:pt>
                <c:pt idx="7">
                  <c:v>-1529.0409932027212</c:v>
                </c:pt>
                <c:pt idx="8">
                  <c:v>-1627.1140829037179</c:v>
                </c:pt>
                <c:pt idx="9">
                  <c:v>-1405.696258911187</c:v>
                </c:pt>
                <c:pt idx="10">
                  <c:v>-1225.7868572143739</c:v>
                </c:pt>
                <c:pt idx="11">
                  <c:v>-927.00940147627693</c:v>
                </c:pt>
                <c:pt idx="12">
                  <c:v>-625.44124806376135</c:v>
                </c:pt>
                <c:pt idx="13">
                  <c:v>-170.80297726575398</c:v>
                </c:pt>
                <c:pt idx="14">
                  <c:v>-170.80297726575398</c:v>
                </c:pt>
                <c:pt idx="15">
                  <c:v>-170.80297726575398</c:v>
                </c:pt>
                <c:pt idx="16">
                  <c:v>283.83529353225344</c:v>
                </c:pt>
                <c:pt idx="17">
                  <c:v>591.78218448629718</c:v>
                </c:pt>
                <c:pt idx="18">
                  <c:v>902.51977311475957</c:v>
                </c:pt>
                <c:pt idx="19">
                  <c:v>1092.3162180009415</c:v>
                </c:pt>
                <c:pt idx="20">
                  <c:v>1340.5247396678908</c:v>
                </c:pt>
                <c:pt idx="21">
                  <c:v>1438.5978293688875</c:v>
                </c:pt>
                <c:pt idx="22">
                  <c:v>1403.6256546921175</c:v>
                </c:pt>
                <c:pt idx="23">
                  <c:v>1434.5226646588949</c:v>
                </c:pt>
                <c:pt idx="24">
                  <c:v>1212.3998689424477</c:v>
                </c:pt>
                <c:pt idx="25">
                  <c:v>932.62247152828922</c:v>
                </c:pt>
                <c:pt idx="26">
                  <c:v>938.68227219274104</c:v>
                </c:pt>
                <c:pt idx="27">
                  <c:v>677.88976960311493</c:v>
                </c:pt>
              </c:numCache>
            </c:numRef>
          </c:xVal>
          <c:yVal>
            <c:numRef>
              <c:f>Calculations!$K$23:$K$50</c:f>
              <c:numCache>
                <c:formatCode>0.000</c:formatCode>
                <c:ptCount val="28"/>
                <c:pt idx="0">
                  <c:v>76.475258028294093</c:v>
                </c:pt>
                <c:pt idx="1">
                  <c:v>1.5348837209302324</c:v>
                </c:pt>
                <c:pt idx="2">
                  <c:v>-8.8704318936877069</c:v>
                </c:pt>
                <c:pt idx="3">
                  <c:v>143.0087267025697</c:v>
                </c:pt>
                <c:pt idx="4">
                  <c:v>131.84593600489529</c:v>
                </c:pt>
                <c:pt idx="5">
                  <c:v>315.52306400656477</c:v>
                </c:pt>
                <c:pt idx="6">
                  <c:v>1089.9069318493246</c:v>
                </c:pt>
                <c:pt idx="7">
                  <c:v>1088.5115830121151</c:v>
                </c:pt>
                <c:pt idx="8">
                  <c:v>3546.5558602936499</c:v>
                </c:pt>
                <c:pt idx="9">
                  <c:v>3891.6575079547592</c:v>
                </c:pt>
                <c:pt idx="10">
                  <c:v>4022.9343420919927</c:v>
                </c:pt>
                <c:pt idx="11">
                  <c:v>4184.9745591452584</c:v>
                </c:pt>
                <c:pt idx="12">
                  <c:v>4277.0704268449854</c:v>
                </c:pt>
                <c:pt idx="13">
                  <c:v>4295.2099617287067</c:v>
                </c:pt>
                <c:pt idx="14">
                  <c:v>4295.2099617287067</c:v>
                </c:pt>
                <c:pt idx="15">
                  <c:v>4295.2099617287067</c:v>
                </c:pt>
                <c:pt idx="16">
                  <c:v>4313.3494966124272</c:v>
                </c:pt>
                <c:pt idx="17">
                  <c:v>4245.5725657897765</c:v>
                </c:pt>
                <c:pt idx="18">
                  <c:v>4107.8512856135876</c:v>
                </c:pt>
                <c:pt idx="19">
                  <c:v>3991.3252820411381</c:v>
                </c:pt>
                <c:pt idx="20">
                  <c:v>3664.9611759082677</c:v>
                </c:pt>
                <c:pt idx="21">
                  <c:v>1206.9168986267332</c:v>
                </c:pt>
                <c:pt idx="22">
                  <c:v>1205.5215497895238</c:v>
                </c:pt>
                <c:pt idx="23">
                  <c:v>431.13768194676413</c:v>
                </c:pt>
                <c:pt idx="24">
                  <c:v>229.12168351320094</c:v>
                </c:pt>
                <c:pt idx="25">
                  <c:v>217.9588928155265</c:v>
                </c:pt>
                <c:pt idx="26">
                  <c:v>66.079734219269099</c:v>
                </c:pt>
                <c:pt idx="27">
                  <c:v>55.674418604651159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C4-46A4-844E-76713103D5C5}"/>
            </c:ext>
          </c:extLst>
        </c:ser>
        <c:ser>
          <c:idx val="2"/>
          <c:order val="2"/>
          <c:tx>
            <c:v>Super Elevation Tolerance</c:v>
          </c:tx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Calculations!$T$23:$T$50</c:f>
              <c:numCache>
                <c:formatCode>0.000</c:formatCode>
                <c:ptCount val="28"/>
                <c:pt idx="0">
                  <c:v>-682.52956553630827</c:v>
                </c:pt>
                <c:pt idx="1">
                  <c:v>-679.04165563243771</c:v>
                </c:pt>
                <c:pt idx="2">
                  <c:v>-939.75926290344432</c:v>
                </c:pt>
                <c:pt idx="3">
                  <c:v>-946.82809364195543</c:v>
                </c:pt>
                <c:pt idx="4">
                  <c:v>-1226.5251435878629</c:v>
                </c:pt>
                <c:pt idx="5">
                  <c:v>-1465.2518465770095</c:v>
                </c:pt>
                <c:pt idx="6">
                  <c:v>-1501.2935822503391</c:v>
                </c:pt>
                <c:pt idx="7">
                  <c:v>-1536.2557134935778</c:v>
                </c:pt>
                <c:pt idx="8">
                  <c:v>-1650.6591583405341</c:v>
                </c:pt>
                <c:pt idx="9">
                  <c:v>-1431.5392563624159</c:v>
                </c:pt>
                <c:pt idx="10">
                  <c:v>-1252.5060974987455</c:v>
                </c:pt>
                <c:pt idx="11">
                  <c:v>-954.81191647255196</c:v>
                </c:pt>
                <c:pt idx="12">
                  <c:v>-653.86235286941235</c:v>
                </c:pt>
                <c:pt idx="13">
                  <c:v>-199.35464670731258</c:v>
                </c:pt>
                <c:pt idx="14">
                  <c:v>-142.27544455809388</c:v>
                </c:pt>
                <c:pt idx="15">
                  <c:v>-142.27544455809388</c:v>
                </c:pt>
                <c:pt idx="16">
                  <c:v>312.47331854598218</c:v>
                </c:pt>
                <c:pt idx="17">
                  <c:v>619.9630665001124</c:v>
                </c:pt>
                <c:pt idx="18">
                  <c:v>929.77870401652353</c:v>
                </c:pt>
                <c:pt idx="19">
                  <c:v>1118.79669997576</c:v>
                </c:pt>
                <c:pt idx="20">
                  <c:v>1364.831210159231</c:v>
                </c:pt>
                <c:pt idx="21">
                  <c:v>1446.5696147765327</c:v>
                </c:pt>
                <c:pt idx="22">
                  <c:v>1411.5889406916035</c:v>
                </c:pt>
                <c:pt idx="23">
                  <c:v>1437.3398608454279</c:v>
                </c:pt>
                <c:pt idx="24">
                  <c:v>1213.8796695090414</c:v>
                </c:pt>
                <c:pt idx="25">
                  <c:v>934.03427682960967</c:v>
                </c:pt>
                <c:pt idx="26">
                  <c:v>939.08477987913398</c:v>
                </c:pt>
                <c:pt idx="27">
                  <c:v>678.22889598866414</c:v>
                </c:pt>
              </c:numCache>
            </c:numRef>
          </c:xVal>
          <c:yVal>
            <c:numRef>
              <c:f>Calculations!$U$23:$U$50</c:f>
              <c:numCache>
                <c:formatCode>0.000</c:formatCode>
                <c:ptCount val="28"/>
                <c:pt idx="0">
                  <c:v>76.709313081402627</c:v>
                </c:pt>
                <c:pt idx="1">
                  <c:v>1.7904604173202514</c:v>
                </c:pt>
                <c:pt idx="2">
                  <c:v>-10.347466048149503</c:v>
                </c:pt>
                <c:pt idx="3">
                  <c:v>141.48807535105743</c:v>
                </c:pt>
                <c:pt idx="4">
                  <c:v>128.46654504327381</c:v>
                </c:pt>
                <c:pt idx="5">
                  <c:v>310.56146886030922</c:v>
                </c:pt>
                <c:pt idx="6">
                  <c:v>1084.7229463891604</c:v>
                </c:pt>
                <c:pt idx="7">
                  <c:v>1083.0952551006872</c:v>
                </c:pt>
                <c:pt idx="8">
                  <c:v>3540.4336224825893</c:v>
                </c:pt>
                <c:pt idx="9">
                  <c:v>3886.998866783139</c:v>
                </c:pt>
                <c:pt idx="10">
                  <c:v>4019.4682142839692</c:v>
                </c:pt>
                <c:pt idx="11">
                  <c:v>4183.4900865545405</c:v>
                </c:pt>
                <c:pt idx="12">
                  <c:v>4277.5876963386363</c:v>
                </c:pt>
                <c:pt idx="13">
                  <c:v>4298.7476830887854</c:v>
                </c:pt>
                <c:pt idx="14">
                  <c:v>4291.4826063747087</c:v>
                </c:pt>
                <c:pt idx="15">
                  <c:v>4291.4826063747087</c:v>
                </c:pt>
                <c:pt idx="16">
                  <c:v>4306.600888529535</c:v>
                </c:pt>
                <c:pt idx="17">
                  <c:v>4236.7792951424926</c:v>
                </c:pt>
                <c:pt idx="18">
                  <c:v>4096.9963535855923</c:v>
                </c:pt>
                <c:pt idx="19">
                  <c:v>3979.2118163850155</c:v>
                </c:pt>
                <c:pt idx="20">
                  <c:v>3651.2056887002127</c:v>
                </c:pt>
                <c:pt idx="21">
                  <c:v>1192.5640244452079</c:v>
                </c:pt>
                <c:pt idx="22">
                  <c:v>1191.4010796640673</c:v>
                </c:pt>
                <c:pt idx="23">
                  <c:v>416.82901064064117</c:v>
                </c:pt>
                <c:pt idx="24">
                  <c:v>216.29337069625291</c:v>
                </c:pt>
                <c:pt idx="25">
                  <c:v>206.98981244712914</c:v>
                </c:pt>
                <c:pt idx="26">
                  <c:v>55.073742135437811</c:v>
                </c:pt>
                <c:pt idx="27">
                  <c:v>46.401496767504618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C4-46A4-844E-76713103D5C5}"/>
            </c:ext>
          </c:extLst>
        </c:ser>
        <c:ser>
          <c:idx val="3"/>
          <c:order val="3"/>
          <c:tx>
            <c:v>Low Rail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Calculations!$M$10</c:f>
              <c:numCache>
                <c:formatCode>General</c:formatCode>
                <c:ptCount val="1"/>
                <c:pt idx="0">
                  <c:v>-717.5</c:v>
                </c:pt>
              </c:numCache>
            </c:numRef>
          </c:xVal>
          <c:yVal>
            <c:numRef>
              <c:f>Calculations!$M$11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C4-46A4-844E-76713103D5C5}"/>
            </c:ext>
          </c:extLst>
        </c:ser>
        <c:ser>
          <c:idx val="4"/>
          <c:order val="4"/>
          <c:tx>
            <c:v>Track Tolerance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Calculations!$V$23:$V$50</c:f>
              <c:numCache>
                <c:formatCode>0.000</c:formatCode>
                <c:ptCount val="28"/>
                <c:pt idx="0">
                  <c:v>-707.52956553630827</c:v>
                </c:pt>
                <c:pt idx="1">
                  <c:v>-704.04165563243771</c:v>
                </c:pt>
                <c:pt idx="2">
                  <c:v>-964.75926290344432</c:v>
                </c:pt>
                <c:pt idx="3">
                  <c:v>-971.82809364195543</c:v>
                </c:pt>
                <c:pt idx="4">
                  <c:v>-1251.5251435878629</c:v>
                </c:pt>
                <c:pt idx="5">
                  <c:v>-1490.2518465770095</c:v>
                </c:pt>
                <c:pt idx="6">
                  <c:v>-1526.2935822503391</c:v>
                </c:pt>
                <c:pt idx="7">
                  <c:v>-1561.2557134935778</c:v>
                </c:pt>
                <c:pt idx="8">
                  <c:v>-1675.6591583405341</c:v>
                </c:pt>
                <c:pt idx="9">
                  <c:v>-1456.5392563624159</c:v>
                </c:pt>
                <c:pt idx="10">
                  <c:v>-1277.5060974987455</c:v>
                </c:pt>
                <c:pt idx="11">
                  <c:v>-979.81191647255196</c:v>
                </c:pt>
                <c:pt idx="12">
                  <c:v>-678.86235286941235</c:v>
                </c:pt>
                <c:pt idx="13">
                  <c:v>-224.35464670731258</c:v>
                </c:pt>
                <c:pt idx="14">
                  <c:v>-117.27544455809388</c:v>
                </c:pt>
                <c:pt idx="15">
                  <c:v>-117.27544455809388</c:v>
                </c:pt>
                <c:pt idx="16">
                  <c:v>337.47331854598218</c:v>
                </c:pt>
                <c:pt idx="17">
                  <c:v>644.9630665001124</c:v>
                </c:pt>
                <c:pt idx="18">
                  <c:v>954.77870401652353</c:v>
                </c:pt>
                <c:pt idx="19">
                  <c:v>1143.79669997576</c:v>
                </c:pt>
                <c:pt idx="20">
                  <c:v>1389.831210159231</c:v>
                </c:pt>
                <c:pt idx="21">
                  <c:v>1471.5696147765327</c:v>
                </c:pt>
                <c:pt idx="22">
                  <c:v>1436.5889406916035</c:v>
                </c:pt>
                <c:pt idx="23">
                  <c:v>1462.3398608454279</c:v>
                </c:pt>
                <c:pt idx="24">
                  <c:v>1238.8796695090414</c:v>
                </c:pt>
                <c:pt idx="25">
                  <c:v>959.03427682960967</c:v>
                </c:pt>
                <c:pt idx="26">
                  <c:v>964.08477987913398</c:v>
                </c:pt>
                <c:pt idx="27">
                  <c:v>703.22889598866414</c:v>
                </c:pt>
              </c:numCache>
            </c:numRef>
          </c:xVal>
          <c:yVal>
            <c:numRef>
              <c:f>Calculations!$W$23:$W$50</c:f>
              <c:numCache>
                <c:formatCode>0.000</c:formatCode>
                <c:ptCount val="28"/>
                <c:pt idx="0">
                  <c:v>176.70931308140263</c:v>
                </c:pt>
                <c:pt idx="1">
                  <c:v>101.79046041732025</c:v>
                </c:pt>
                <c:pt idx="2">
                  <c:v>89.652533951850501</c:v>
                </c:pt>
                <c:pt idx="3">
                  <c:v>241.48807535105743</c:v>
                </c:pt>
                <c:pt idx="4">
                  <c:v>228.46654504327381</c:v>
                </c:pt>
                <c:pt idx="5">
                  <c:v>410.56146886030922</c:v>
                </c:pt>
                <c:pt idx="6">
                  <c:v>1184.7229463891604</c:v>
                </c:pt>
                <c:pt idx="7">
                  <c:v>1183.0952551006872</c:v>
                </c:pt>
                <c:pt idx="8">
                  <c:v>3640.4336224825893</c:v>
                </c:pt>
                <c:pt idx="9">
                  <c:v>3986.998866783139</c:v>
                </c:pt>
                <c:pt idx="10">
                  <c:v>4119.4682142839692</c:v>
                </c:pt>
                <c:pt idx="11">
                  <c:v>4283.4900865545405</c:v>
                </c:pt>
                <c:pt idx="12">
                  <c:v>4377.5876963386363</c:v>
                </c:pt>
                <c:pt idx="13">
                  <c:v>4398.7476830887854</c:v>
                </c:pt>
                <c:pt idx="14">
                  <c:v>4391.4826063747087</c:v>
                </c:pt>
                <c:pt idx="15">
                  <c:v>4391.4826063747087</c:v>
                </c:pt>
                <c:pt idx="16">
                  <c:v>4406.600888529535</c:v>
                </c:pt>
                <c:pt idx="17">
                  <c:v>4336.7792951424926</c:v>
                </c:pt>
                <c:pt idx="18">
                  <c:v>4196.9963535855923</c:v>
                </c:pt>
                <c:pt idx="19">
                  <c:v>4079.2118163850155</c:v>
                </c:pt>
                <c:pt idx="20">
                  <c:v>3751.2056887002127</c:v>
                </c:pt>
                <c:pt idx="21">
                  <c:v>1292.5640244452079</c:v>
                </c:pt>
                <c:pt idx="22">
                  <c:v>1291.4010796640673</c:v>
                </c:pt>
                <c:pt idx="23">
                  <c:v>516.82901064064117</c:v>
                </c:pt>
                <c:pt idx="24">
                  <c:v>316.29337069625291</c:v>
                </c:pt>
                <c:pt idx="25">
                  <c:v>306.98981244712911</c:v>
                </c:pt>
                <c:pt idx="26">
                  <c:v>155.07374213543781</c:v>
                </c:pt>
                <c:pt idx="27">
                  <c:v>146.40149676750463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C4-46A4-844E-76713103D5C5}"/>
            </c:ext>
          </c:extLst>
        </c:ser>
        <c:ser>
          <c:idx val="5"/>
          <c:order val="5"/>
          <c:tx>
            <c:strRef>
              <c:f>Calculations!$X$20</c:f>
              <c:strCache>
                <c:ptCount val="1"/>
                <c:pt idx="0">
                  <c:v>Vehicle Tolerance (Lateral Track + Bogie Wear)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Calculations!$Z$23:$Z$50</c:f>
              <c:numCache>
                <c:formatCode>0.000</c:formatCode>
                <c:ptCount val="28"/>
                <c:pt idx="0">
                  <c:v>-782.44841820039062</c:v>
                </c:pt>
                <c:pt idx="1">
                  <c:v>-778.96050829652006</c:v>
                </c:pt>
                <c:pt idx="2">
                  <c:v>-1039.6781155675267</c:v>
                </c:pt>
                <c:pt idx="3">
                  <c:v>-1046.7469463060379</c:v>
                </c:pt>
                <c:pt idx="4">
                  <c:v>-1326.4439962519452</c:v>
                </c:pt>
                <c:pt idx="5">
                  <c:v>-1565.1706992410918</c:v>
                </c:pt>
                <c:pt idx="6">
                  <c:v>-1601.2124349144215</c:v>
                </c:pt>
                <c:pt idx="7">
                  <c:v>-1636.1745661576601</c:v>
                </c:pt>
                <c:pt idx="8">
                  <c:v>-1750.5780110046164</c:v>
                </c:pt>
                <c:pt idx="9">
                  <c:v>-1531.4581090264983</c:v>
                </c:pt>
                <c:pt idx="10">
                  <c:v>-1352.4249501628278</c:v>
                </c:pt>
                <c:pt idx="11">
                  <c:v>-1054.7307691366343</c:v>
                </c:pt>
                <c:pt idx="12">
                  <c:v>-753.7812055334947</c:v>
                </c:pt>
                <c:pt idx="13">
                  <c:v>-299.27349937139496</c:v>
                </c:pt>
                <c:pt idx="14">
                  <c:v>-42.316857233246182</c:v>
                </c:pt>
                <c:pt idx="15">
                  <c:v>-42.316857233246182</c:v>
                </c:pt>
                <c:pt idx="16">
                  <c:v>412.43190587082989</c:v>
                </c:pt>
                <c:pt idx="17">
                  <c:v>719.92165382496012</c:v>
                </c:pt>
                <c:pt idx="18">
                  <c:v>1029.7372913413712</c:v>
                </c:pt>
                <c:pt idx="19">
                  <c:v>1218.7552873006077</c:v>
                </c:pt>
                <c:pt idx="20">
                  <c:v>1464.7897974840787</c:v>
                </c:pt>
                <c:pt idx="21">
                  <c:v>1546.5282021013804</c:v>
                </c:pt>
                <c:pt idx="22">
                  <c:v>1511.5475280164512</c:v>
                </c:pt>
                <c:pt idx="23">
                  <c:v>1537.2984481702756</c:v>
                </c:pt>
                <c:pt idx="24">
                  <c:v>1313.8382568338891</c:v>
                </c:pt>
                <c:pt idx="25">
                  <c:v>1033.9928641544573</c:v>
                </c:pt>
                <c:pt idx="26">
                  <c:v>1039.0433672039817</c:v>
                </c:pt>
                <c:pt idx="27">
                  <c:v>778.18748331351185</c:v>
                </c:pt>
              </c:numCache>
            </c:numRef>
          </c:xVal>
          <c:yVal>
            <c:numRef>
              <c:f>Calculations!$AA$23:$AA$50</c:f>
              <c:numCache>
                <c:formatCode>0.000</c:formatCode>
                <c:ptCount val="28"/>
                <c:pt idx="0">
                  <c:v>173.22140317753201</c:v>
                </c:pt>
                <c:pt idx="1">
                  <c:v>98.302550513449631</c:v>
                </c:pt>
                <c:pt idx="2">
                  <c:v>86.164624047979885</c:v>
                </c:pt>
                <c:pt idx="3">
                  <c:v>238.00016544718682</c:v>
                </c:pt>
                <c:pt idx="4">
                  <c:v>224.9786351394032</c:v>
                </c:pt>
                <c:pt idx="5">
                  <c:v>407.0735589564386</c:v>
                </c:pt>
                <c:pt idx="6">
                  <c:v>1181.2350364852898</c:v>
                </c:pt>
                <c:pt idx="7">
                  <c:v>1179.6073451968166</c:v>
                </c:pt>
                <c:pt idx="8">
                  <c:v>3636.9457125787185</c:v>
                </c:pt>
                <c:pt idx="9">
                  <c:v>3983.5109568792682</c:v>
                </c:pt>
                <c:pt idx="10">
                  <c:v>4115.9803043800985</c:v>
                </c:pt>
                <c:pt idx="11">
                  <c:v>4280.0021766506698</c:v>
                </c:pt>
                <c:pt idx="12">
                  <c:v>4374.0997864347655</c:v>
                </c:pt>
                <c:pt idx="13">
                  <c:v>4395.2597731849146</c:v>
                </c:pt>
                <c:pt idx="14">
                  <c:v>4393.9746309057236</c:v>
                </c:pt>
                <c:pt idx="15">
                  <c:v>4393.9746309057236</c:v>
                </c:pt>
                <c:pt idx="16">
                  <c:v>4409.09291306055</c:v>
                </c:pt>
                <c:pt idx="17">
                  <c:v>4339.2713196735076</c:v>
                </c:pt>
                <c:pt idx="18">
                  <c:v>4199.4883781166072</c:v>
                </c:pt>
                <c:pt idx="19">
                  <c:v>4081.7038409160309</c:v>
                </c:pt>
                <c:pt idx="20">
                  <c:v>3753.6977132312281</c:v>
                </c:pt>
                <c:pt idx="21">
                  <c:v>1295.0560489762231</c:v>
                </c:pt>
                <c:pt idx="22">
                  <c:v>1293.8931041950825</c:v>
                </c:pt>
                <c:pt idx="23">
                  <c:v>519.32103517165649</c:v>
                </c:pt>
                <c:pt idx="24">
                  <c:v>318.78539522726817</c:v>
                </c:pt>
                <c:pt idx="25">
                  <c:v>309.48183697814437</c:v>
                </c:pt>
                <c:pt idx="26">
                  <c:v>157.5657666664531</c:v>
                </c:pt>
                <c:pt idx="27">
                  <c:v>148.89352129851991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C4-46A4-844E-76713103D5C5}"/>
            </c:ext>
          </c:extLst>
        </c:ser>
        <c:ser>
          <c:idx val="6"/>
          <c:order val="6"/>
          <c:tx>
            <c:strRef>
              <c:f>Calculations!$AB$20</c:f>
              <c:strCache>
                <c:ptCount val="1"/>
                <c:pt idx="0">
                  <c:v>Centre / End Throw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Calculations!$AD$23:$AD$50</c:f>
              <c:numCache>
                <c:formatCode>0.000</c:formatCode>
                <c:ptCount val="28"/>
                <c:pt idx="0">
                  <c:v>-945.38694917250882</c:v>
                </c:pt>
                <c:pt idx="1">
                  <c:v>-941.89903926863826</c:v>
                </c:pt>
                <c:pt idx="2">
                  <c:v>-1202.616646539645</c:v>
                </c:pt>
                <c:pt idx="3">
                  <c:v>-1209.6854772781562</c:v>
                </c:pt>
                <c:pt idx="4">
                  <c:v>-1489.3825272240636</c:v>
                </c:pt>
                <c:pt idx="5">
                  <c:v>-1728.1092302132101</c:v>
                </c:pt>
                <c:pt idx="6">
                  <c:v>-1764.1509658865398</c:v>
                </c:pt>
                <c:pt idx="7">
                  <c:v>-1799.1130971297785</c:v>
                </c:pt>
                <c:pt idx="8">
                  <c:v>-1913.5165419767347</c:v>
                </c:pt>
                <c:pt idx="9">
                  <c:v>-1694.3966399986166</c:v>
                </c:pt>
                <c:pt idx="10">
                  <c:v>-1515.3634811349461</c:v>
                </c:pt>
                <c:pt idx="11">
                  <c:v>-1217.6693001087526</c:v>
                </c:pt>
                <c:pt idx="12">
                  <c:v>-916.7197365056129</c:v>
                </c:pt>
                <c:pt idx="13">
                  <c:v>-462.21203034351322</c:v>
                </c:pt>
                <c:pt idx="14">
                  <c:v>118.71255525260308</c:v>
                </c:pt>
                <c:pt idx="15">
                  <c:v>118.71255525260308</c:v>
                </c:pt>
                <c:pt idx="16">
                  <c:v>573.46131835667916</c:v>
                </c:pt>
                <c:pt idx="17">
                  <c:v>880.95106631080944</c:v>
                </c:pt>
                <c:pt idx="18">
                  <c:v>1190.7667038272205</c:v>
                </c:pt>
                <c:pt idx="19">
                  <c:v>1379.7846997864569</c:v>
                </c:pt>
                <c:pt idx="20">
                  <c:v>1625.8192099699279</c:v>
                </c:pt>
                <c:pt idx="21">
                  <c:v>1707.5576145872296</c:v>
                </c:pt>
                <c:pt idx="22">
                  <c:v>1672.5769405023004</c:v>
                </c:pt>
                <c:pt idx="23">
                  <c:v>1698.3278606561248</c:v>
                </c:pt>
                <c:pt idx="24">
                  <c:v>1474.8676693197383</c:v>
                </c:pt>
                <c:pt idx="25">
                  <c:v>1195.0222766403065</c:v>
                </c:pt>
                <c:pt idx="26">
                  <c:v>1200.0727796898309</c:v>
                </c:pt>
                <c:pt idx="27">
                  <c:v>939.21689579936105</c:v>
                </c:pt>
              </c:numCache>
            </c:numRef>
          </c:xVal>
          <c:yVal>
            <c:numRef>
              <c:f>Calculations!$AE$23:$AE$50</c:f>
              <c:numCache>
                <c:formatCode>0.000</c:formatCode>
                <c:ptCount val="28"/>
                <c:pt idx="0">
                  <c:v>165.63566346461937</c:v>
                </c:pt>
                <c:pt idx="1">
                  <c:v>90.71681080053699</c:v>
                </c:pt>
                <c:pt idx="2">
                  <c:v>78.578884335067244</c:v>
                </c:pt>
                <c:pt idx="3">
                  <c:v>230.41442573427418</c:v>
                </c:pt>
                <c:pt idx="4">
                  <c:v>217.39289542649055</c:v>
                </c:pt>
                <c:pt idx="5">
                  <c:v>399.48781924352596</c:v>
                </c:pt>
                <c:pt idx="6">
                  <c:v>1173.6492967723771</c:v>
                </c:pt>
                <c:pt idx="7">
                  <c:v>1172.0216054839038</c:v>
                </c:pt>
                <c:pt idx="8">
                  <c:v>3629.359972865806</c:v>
                </c:pt>
                <c:pt idx="9">
                  <c:v>3975.9252171663557</c:v>
                </c:pt>
                <c:pt idx="10">
                  <c:v>4108.3945646671855</c:v>
                </c:pt>
                <c:pt idx="11">
                  <c:v>4272.4164369377568</c:v>
                </c:pt>
                <c:pt idx="12">
                  <c:v>4366.5140467218525</c:v>
                </c:pt>
                <c:pt idx="13">
                  <c:v>4387.6740334720016</c:v>
                </c:pt>
                <c:pt idx="14">
                  <c:v>4399.3281102127794</c:v>
                </c:pt>
                <c:pt idx="15">
                  <c:v>4399.3281102127794</c:v>
                </c:pt>
                <c:pt idx="16">
                  <c:v>4414.4463923676058</c:v>
                </c:pt>
                <c:pt idx="17">
                  <c:v>4344.6247989805634</c:v>
                </c:pt>
                <c:pt idx="18">
                  <c:v>4204.841857423663</c:v>
                </c:pt>
                <c:pt idx="19">
                  <c:v>4087.0573202230867</c:v>
                </c:pt>
                <c:pt idx="20">
                  <c:v>3759.0511925382839</c:v>
                </c:pt>
                <c:pt idx="21">
                  <c:v>1300.4095282832791</c:v>
                </c:pt>
                <c:pt idx="22">
                  <c:v>1299.2465835021385</c:v>
                </c:pt>
                <c:pt idx="23">
                  <c:v>524.67451447871235</c:v>
                </c:pt>
                <c:pt idx="24">
                  <c:v>324.13887453432409</c:v>
                </c:pt>
                <c:pt idx="25">
                  <c:v>314.83531628520029</c:v>
                </c:pt>
                <c:pt idx="26">
                  <c:v>162.91924597350902</c:v>
                </c:pt>
                <c:pt idx="27">
                  <c:v>154.24700060557583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4C4-46A4-844E-76713103D5C5}"/>
            </c:ext>
          </c:extLst>
        </c:ser>
        <c:ser>
          <c:idx val="7"/>
          <c:order val="7"/>
          <c:tx>
            <c:strRef>
              <c:f>Calculations!$AF$20</c:f>
              <c:strCache>
                <c:ptCount val="1"/>
                <c:pt idx="0">
                  <c:v>Maximum Vehicle Body Roll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Calculations!$AO$24:$AO$49</c:f>
              <c:numCache>
                <c:formatCode>0.000</c:formatCode>
                <c:ptCount val="26"/>
                <c:pt idx="0">
                  <c:v>-919.13545141846294</c:v>
                </c:pt>
                <c:pt idx="1">
                  <c:v>-1179.2706290428173</c:v>
                </c:pt>
                <c:pt idx="2">
                  <c:v>-1191.6341376170201</c:v>
                </c:pt>
                <c:pt idx="3">
                  <c:v>-1470.7063588232238</c:v>
                </c:pt>
                <c:pt idx="4">
                  <c:v>-1715.6426571483837</c:v>
                </c:pt>
                <c:pt idx="5">
                  <c:v>-1778.6802831023779</c:v>
                </c:pt>
                <c:pt idx="6">
                  <c:v>-1813.5643107531534</c:v>
                </c:pt>
                <c:pt idx="7">
                  <c:v>-2013.6579363619605</c:v>
                </c:pt>
                <c:pt idx="8">
                  <c:v>-1806.7664689083745</c:v>
                </c:pt>
                <c:pt idx="9">
                  <c:v>-1632.4654857640571</c:v>
                </c:pt>
                <c:pt idx="10">
                  <c:v>-1340.6769327799623</c:v>
                </c:pt>
                <c:pt idx="11">
                  <c:v>-1043.1946587419575</c:v>
                </c:pt>
                <c:pt idx="12">
                  <c:v>-589.70229928187632</c:v>
                </c:pt>
                <c:pt idx="13">
                  <c:v>246.44826545737234</c:v>
                </c:pt>
                <c:pt idx="14">
                  <c:v>246.44826545737234</c:v>
                </c:pt>
                <c:pt idx="15">
                  <c:v>701.44762834007565</c:v>
                </c:pt>
                <c:pt idx="16">
                  <c:v>1006.3133233796727</c:v>
                </c:pt>
                <c:pt idx="17">
                  <c:v>1311.0618752727164</c:v>
                </c:pt>
                <c:pt idx="18">
                  <c:v>1495.8541055082726</c:v>
                </c:pt>
                <c:pt idx="19">
                  <c:v>1730.2914893442339</c:v>
                </c:pt>
                <c:pt idx="20">
                  <c:v>1726.1747444796415</c:v>
                </c:pt>
                <c:pt idx="21">
                  <c:v>1691.1747934886639</c:v>
                </c:pt>
                <c:pt idx="22">
                  <c:v>1689.8778515089648</c:v>
                </c:pt>
                <c:pt idx="23">
                  <c:v>1459.5551931784751</c:v>
                </c:pt>
                <c:pt idx="24">
                  <c:v>1179.5555852506575</c:v>
                </c:pt>
                <c:pt idx="25">
                  <c:v>1179.3012172752842</c:v>
                </c:pt>
              </c:numCache>
            </c:numRef>
          </c:xVal>
          <c:yVal>
            <c:numRef>
              <c:f>Calculations!$AP$24:$AP$49</c:f>
              <c:numCache>
                <c:formatCode>0.000</c:formatCode>
                <c:ptCount val="26"/>
                <c:pt idx="0">
                  <c:v>68.42616161406238</c:v>
                </c:pt>
                <c:pt idx="1">
                  <c:v>47.19671597020124</c:v>
                </c:pt>
                <c:pt idx="2">
                  <c:v>198.69306462499748</c:v>
                </c:pt>
                <c:pt idx="3">
                  <c:v>175.91818040936107</c:v>
                </c:pt>
                <c:pt idx="4">
                  <c:v>349.57073513507856</c:v>
                </c:pt>
                <c:pt idx="5">
                  <c:v>1122.0027759736786</c:v>
                </c:pt>
                <c:pt idx="6">
                  <c:v>1119.1559154467236</c:v>
                </c:pt>
                <c:pt idx="7">
                  <c:v>3571.0047160440859</c:v>
                </c:pt>
                <c:pt idx="8">
                  <c:v>3925.0060164582251</c:v>
                </c:pt>
                <c:pt idx="9">
                  <c:v>4063.6428343491607</c:v>
                </c:pt>
                <c:pt idx="10">
                  <c:v>4237.9541660159448</c:v>
                </c:pt>
                <c:pt idx="11">
                  <c:v>4342.4974423811791</c:v>
                </c:pt>
                <c:pt idx="12">
                  <c:v>4379.5066292315896</c:v>
                </c:pt>
                <c:pt idx="13">
                  <c:v>4401.343923816682</c:v>
                </c:pt>
                <c:pt idx="14">
                  <c:v>4401.343923816682</c:v>
                </c:pt>
                <c:pt idx="15">
                  <c:v>4400.5824933640843</c:v>
                </c:pt>
                <c:pt idx="16">
                  <c:v>4320.0721959604389</c:v>
                </c:pt>
                <c:pt idx="17">
                  <c:v>4169.5619965748392</c:v>
                </c:pt>
                <c:pt idx="18">
                  <c:v>4045.2525776052012</c:v>
                </c:pt>
                <c:pt idx="19">
                  <c:v>3708.8597818141052</c:v>
                </c:pt>
                <c:pt idx="20">
                  <c:v>1248.8632264482812</c:v>
                </c:pt>
                <c:pt idx="21">
                  <c:v>1248.9217980215578</c:v>
                </c:pt>
                <c:pt idx="22">
                  <c:v>473.92288322134914</c:v>
                </c:pt>
                <c:pt idx="23">
                  <c:v>281.30805238120769</c:v>
                </c:pt>
                <c:pt idx="24">
                  <c:v>281.77662496742147</c:v>
                </c:pt>
                <c:pt idx="25">
                  <c:v>129.77683780660641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4C4-46A4-844E-76713103D5C5}"/>
            </c:ext>
          </c:extLst>
        </c:ser>
        <c:ser>
          <c:idx val="8"/>
          <c:order val="8"/>
          <c:tx>
            <c:strRef>
              <c:f>Calculations!$AS$20</c:f>
              <c:strCache>
                <c:ptCount val="1"/>
                <c:pt idx="0">
                  <c:v>Bounce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Calculations!$AW$24:$AW$49</c:f>
              <c:numCache>
                <c:formatCode>0.000</c:formatCode>
                <c:ptCount val="26"/>
                <c:pt idx="0">
                  <c:v>-923.20239502839809</c:v>
                </c:pt>
                <c:pt idx="1">
                  <c:v>-1183.3375726527524</c:v>
                </c:pt>
                <c:pt idx="2">
                  <c:v>-1195.7010812269552</c:v>
                </c:pt>
                <c:pt idx="3">
                  <c:v>-1474.773302433159</c:v>
                </c:pt>
                <c:pt idx="4">
                  <c:v>-1719.7096007583189</c:v>
                </c:pt>
                <c:pt idx="5">
                  <c:v>-1782.747226712313</c:v>
                </c:pt>
                <c:pt idx="6">
                  <c:v>-1817.6312543630886</c:v>
                </c:pt>
                <c:pt idx="7">
                  <c:v>-2017.7248799718957</c:v>
                </c:pt>
                <c:pt idx="8">
                  <c:v>-1810.8334125183096</c:v>
                </c:pt>
                <c:pt idx="9">
                  <c:v>-1636.5324293739923</c:v>
                </c:pt>
                <c:pt idx="10">
                  <c:v>-1344.7438763898974</c:v>
                </c:pt>
                <c:pt idx="11">
                  <c:v>-1047.2616023518926</c:v>
                </c:pt>
                <c:pt idx="12">
                  <c:v>-593.76924289181147</c:v>
                </c:pt>
                <c:pt idx="13">
                  <c:v>246.53193913348196</c:v>
                </c:pt>
                <c:pt idx="14">
                  <c:v>246.53193913348196</c:v>
                </c:pt>
                <c:pt idx="15">
                  <c:v>701.53130201618524</c:v>
                </c:pt>
                <c:pt idx="16">
                  <c:v>1006.3969970557823</c:v>
                </c:pt>
                <c:pt idx="17">
                  <c:v>1311.145548948826</c:v>
                </c:pt>
                <c:pt idx="18">
                  <c:v>1495.9377791843822</c:v>
                </c:pt>
                <c:pt idx="19">
                  <c:v>1730.3751630203435</c:v>
                </c:pt>
                <c:pt idx="20">
                  <c:v>1726.2584181557511</c:v>
                </c:pt>
                <c:pt idx="21">
                  <c:v>1691.2584671647735</c:v>
                </c:pt>
                <c:pt idx="22">
                  <c:v>1689.9615251850744</c:v>
                </c:pt>
                <c:pt idx="23">
                  <c:v>1459.6388668545846</c:v>
                </c:pt>
                <c:pt idx="24">
                  <c:v>1179.6392589267671</c:v>
                </c:pt>
                <c:pt idx="25">
                  <c:v>1179.3848909513938</c:v>
                </c:pt>
              </c:numCache>
            </c:numRef>
          </c:xVal>
          <c:yVal>
            <c:numRef>
              <c:f>Calculations!$AX$24:$AX$49</c:f>
              <c:numCache>
                <c:formatCode>0.000</c:formatCode>
                <c:ptCount val="26"/>
                <c:pt idx="0">
                  <c:v>118.26048682945591</c:v>
                </c:pt>
                <c:pt idx="1">
                  <c:v>97.031041185594773</c:v>
                </c:pt>
                <c:pt idx="2">
                  <c:v>248.52738984039101</c:v>
                </c:pt>
                <c:pt idx="3">
                  <c:v>225.7525056247546</c:v>
                </c:pt>
                <c:pt idx="4">
                  <c:v>399.40506035047213</c:v>
                </c:pt>
                <c:pt idx="5">
                  <c:v>1171.8371011890722</c:v>
                </c:pt>
                <c:pt idx="6">
                  <c:v>1168.9902406621172</c:v>
                </c:pt>
                <c:pt idx="7">
                  <c:v>3620.8390412594795</c:v>
                </c:pt>
                <c:pt idx="8">
                  <c:v>3974.8403416736187</c:v>
                </c:pt>
                <c:pt idx="9">
                  <c:v>4113.4771595645543</c:v>
                </c:pt>
                <c:pt idx="10">
                  <c:v>4287.7884912313384</c:v>
                </c:pt>
                <c:pt idx="11">
                  <c:v>4392.3317675965727</c:v>
                </c:pt>
                <c:pt idx="12">
                  <c:v>4429.3409544469832</c:v>
                </c:pt>
                <c:pt idx="13">
                  <c:v>4451.3438538037926</c:v>
                </c:pt>
                <c:pt idx="14">
                  <c:v>4451.3438538037926</c:v>
                </c:pt>
                <c:pt idx="15">
                  <c:v>4450.5824233511948</c:v>
                </c:pt>
                <c:pt idx="16">
                  <c:v>4370.0721259475495</c:v>
                </c:pt>
                <c:pt idx="17">
                  <c:v>4219.5619265619498</c:v>
                </c:pt>
                <c:pt idx="18">
                  <c:v>4095.2525075923113</c:v>
                </c:pt>
                <c:pt idx="19">
                  <c:v>3758.8597118012153</c:v>
                </c:pt>
                <c:pt idx="20">
                  <c:v>1298.8631564353914</c:v>
                </c:pt>
                <c:pt idx="21">
                  <c:v>1298.9217280086682</c:v>
                </c:pt>
                <c:pt idx="22">
                  <c:v>523.92281320845939</c:v>
                </c:pt>
                <c:pt idx="23">
                  <c:v>331.30798236831794</c:v>
                </c:pt>
                <c:pt idx="24">
                  <c:v>331.77655495453172</c:v>
                </c:pt>
                <c:pt idx="25">
                  <c:v>179.77676779371666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4C4-46A4-844E-76713103D5C5}"/>
            </c:ext>
          </c:extLst>
        </c:ser>
        <c:ser>
          <c:idx val="9"/>
          <c:order val="9"/>
          <c:tx>
            <c:v>Bounce (Negative TT)</c:v>
          </c:tx>
          <c:marker>
            <c:symbol val="none"/>
          </c:marker>
          <c:xVal>
            <c:numRef>
              <c:f>Calculations!$AW$56:$AW$83</c:f>
              <c:numCache>
                <c:formatCode>0.000</c:formatCode>
                <c:ptCount val="28"/>
                <c:pt idx="0">
                  <c:v>-929.3028104433007</c:v>
                </c:pt>
                <c:pt idx="1">
                  <c:v>-923.20239502839809</c:v>
                </c:pt>
                <c:pt idx="2">
                  <c:v>-1183.3375726527524</c:v>
                </c:pt>
                <c:pt idx="3">
                  <c:v>-1195.7010812269552</c:v>
                </c:pt>
                <c:pt idx="4">
                  <c:v>-1474.773302433159</c:v>
                </c:pt>
                <c:pt idx="5">
                  <c:v>-1719.7096007583189</c:v>
                </c:pt>
                <c:pt idx="6">
                  <c:v>-1782.747226712313</c:v>
                </c:pt>
                <c:pt idx="7">
                  <c:v>-1817.6312543630886</c:v>
                </c:pt>
                <c:pt idx="8">
                  <c:v>-2017.7248799718957</c:v>
                </c:pt>
                <c:pt idx="9">
                  <c:v>-1810.8334125183096</c:v>
                </c:pt>
                <c:pt idx="10">
                  <c:v>-1636.5324293739923</c:v>
                </c:pt>
                <c:pt idx="11">
                  <c:v>-1344.7438763898974</c:v>
                </c:pt>
                <c:pt idx="12">
                  <c:v>-1047.2616023518926</c:v>
                </c:pt>
                <c:pt idx="13">
                  <c:v>-593.76924289181147</c:v>
                </c:pt>
                <c:pt idx="14">
                  <c:v>246.53193913348196</c:v>
                </c:pt>
                <c:pt idx="15">
                  <c:v>246.53193913348196</c:v>
                </c:pt>
                <c:pt idx="16">
                  <c:v>701.53130201618524</c:v>
                </c:pt>
                <c:pt idx="17">
                  <c:v>1006.3969970557823</c:v>
                </c:pt>
                <c:pt idx="18">
                  <c:v>1311.145548948826</c:v>
                </c:pt>
                <c:pt idx="19">
                  <c:v>1495.9377791843822</c:v>
                </c:pt>
                <c:pt idx="20">
                  <c:v>1730.3751630203435</c:v>
                </c:pt>
                <c:pt idx="21">
                  <c:v>1726.2584181557511</c:v>
                </c:pt>
                <c:pt idx="22">
                  <c:v>1691.2584671647735</c:v>
                </c:pt>
                <c:pt idx="23">
                  <c:v>1689.9615251850744</c:v>
                </c:pt>
                <c:pt idx="24">
                  <c:v>1459.6388668545846</c:v>
                </c:pt>
                <c:pt idx="25">
                  <c:v>1179.6392589267671</c:v>
                </c:pt>
                <c:pt idx="26">
                  <c:v>1179.3848909513938</c:v>
                </c:pt>
                <c:pt idx="27">
                  <c:v>918.38525641867841</c:v>
                </c:pt>
              </c:numCache>
            </c:numRef>
          </c:xVal>
          <c:yVal>
            <c:numRef>
              <c:f>Calculations!$AX$56:$AX$83</c:f>
              <c:numCache>
                <c:formatCode>0.000</c:formatCode>
                <c:ptCount val="28"/>
                <c:pt idx="0">
                  <c:v>-56.835732102227631</c:v>
                </c:pt>
                <c:pt idx="1">
                  <c:v>-131.58721992531807</c:v>
                </c:pt>
                <c:pt idx="2">
                  <c:v>-152.81666556917921</c:v>
                </c:pt>
                <c:pt idx="3">
                  <c:v>-1.3203169143829072</c:v>
                </c:pt>
                <c:pt idx="4">
                  <c:v>-24.095201130019369</c:v>
                </c:pt>
                <c:pt idx="5">
                  <c:v>149.55735359569817</c:v>
                </c:pt>
                <c:pt idx="6">
                  <c:v>921.98939443429811</c:v>
                </c:pt>
                <c:pt idx="7">
                  <c:v>919.14253390734314</c:v>
                </c:pt>
                <c:pt idx="8">
                  <c:v>3370.9913345047057</c:v>
                </c:pt>
                <c:pt idx="9">
                  <c:v>3724.9926349188449</c:v>
                </c:pt>
                <c:pt idx="10">
                  <c:v>3863.6294528097806</c:v>
                </c:pt>
                <c:pt idx="11">
                  <c:v>4037.9407844765647</c:v>
                </c:pt>
                <c:pt idx="12">
                  <c:v>4142.4840608417981</c:v>
                </c:pt>
                <c:pt idx="13">
                  <c:v>4179.4932476922086</c:v>
                </c:pt>
                <c:pt idx="14">
                  <c:v>4201.496147049018</c:v>
                </c:pt>
                <c:pt idx="15">
                  <c:v>4201.496147049018</c:v>
                </c:pt>
                <c:pt idx="16">
                  <c:v>4200.7347165964211</c:v>
                </c:pt>
                <c:pt idx="17">
                  <c:v>4120.2244191927757</c:v>
                </c:pt>
                <c:pt idx="18">
                  <c:v>3969.7142198071761</c:v>
                </c:pt>
                <c:pt idx="19">
                  <c:v>3845.4048008375376</c:v>
                </c:pt>
                <c:pt idx="20">
                  <c:v>3509.0120050464416</c:v>
                </c:pt>
                <c:pt idx="21">
                  <c:v>1049.0154496806176</c:v>
                </c:pt>
                <c:pt idx="22">
                  <c:v>1049.074021253894</c:v>
                </c:pt>
                <c:pt idx="23">
                  <c:v>274.07510645368541</c:v>
                </c:pt>
                <c:pt idx="24">
                  <c:v>81.460275613544013</c:v>
                </c:pt>
                <c:pt idx="25">
                  <c:v>81.928848199757795</c:v>
                </c:pt>
                <c:pt idx="26">
                  <c:v>-70.070938961057323</c:v>
                </c:pt>
                <c:pt idx="27">
                  <c:v>-69.634162371765001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4C4-46A4-844E-76713103D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44544"/>
        <c:axId val="165666816"/>
      </c:scatterChart>
      <c:valAx>
        <c:axId val="165644544"/>
        <c:scaling>
          <c:orientation val="minMax"/>
          <c:max val="3000"/>
          <c:min val="-300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666816"/>
        <c:crosses val="autoZero"/>
        <c:crossBetween val="midCat"/>
      </c:valAx>
      <c:valAx>
        <c:axId val="165666816"/>
        <c:scaling>
          <c:orientation val="minMax"/>
          <c:max val="5000"/>
          <c:min val="-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44544"/>
        <c:crosses val="autoZero"/>
        <c:crossBetween val="midCat"/>
        <c:majorUnit val="500"/>
      </c:valAx>
    </c:plotArea>
    <c:legend>
      <c:legendPos val="r"/>
      <c:layout>
        <c:manualLayout>
          <c:xMode val="edge"/>
          <c:yMode val="edge"/>
          <c:x val="0.78696498054474706"/>
          <c:y val="0.15082972094551528"/>
          <c:w val="0.21303509869500242"/>
          <c:h val="0.434975214218184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280147</xdr:colOff>
      <xdr:row>49</xdr:row>
      <xdr:rowOff>19611</xdr:rowOff>
    </xdr:from>
    <xdr:to>
      <xdr:col>6</xdr:col>
      <xdr:colOff>0</xdr:colOff>
      <xdr:row>52</xdr:row>
      <xdr:rowOff>89647</xdr:rowOff>
    </xdr:to>
    <xdr:sp macro="[0]!Output_to_Micro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29000" y="7549964"/>
          <a:ext cx="2935941" cy="54068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AU" sz="1200" b="1"/>
            <a:t>Save Kinematic</a:t>
          </a:r>
          <a:r>
            <a:rPr lang="en-AU" sz="1200" b="1" baseline="0"/>
            <a:t> Envelopes</a:t>
          </a:r>
          <a:endParaRPr lang="en-AU" sz="1200" b="1"/>
        </a:p>
      </xdr:txBody>
    </xdr:sp>
    <xdr:clientData/>
  </xdr:twoCellAnchor>
  <xdr:twoCellAnchor>
    <xdr:from>
      <xdr:col>1</xdr:col>
      <xdr:colOff>28575</xdr:colOff>
      <xdr:row>14</xdr:row>
      <xdr:rowOff>114300</xdr:rowOff>
    </xdr:from>
    <xdr:to>
      <xdr:col>6</xdr:col>
      <xdr:colOff>28575</xdr:colOff>
      <xdr:row>48</xdr:row>
      <xdr:rowOff>66675</xdr:rowOff>
    </xdr:to>
    <xdr:graphicFrame macro="">
      <xdr:nvGraphicFramePr>
        <xdr:cNvPr id="1488" name="Chart 2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542925</xdr:colOff>
      <xdr:row>12</xdr:row>
      <xdr:rowOff>67796</xdr:rowOff>
    </xdr:from>
    <xdr:ext cx="4278376" cy="85671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5325" y="1896596"/>
          <a:ext cx="4278376" cy="85671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2700">
                <a:solidFill>
                  <a:srgbClr val="00B0F0">
                    <a:alpha val="50000"/>
                  </a:srgbClr>
                </a:solidFill>
                <a:prstDash val="solid"/>
              </a:ln>
              <a:solidFill>
                <a:srgbClr val="FF0000">
                  <a:alpha val="25000"/>
                </a:srgb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NORMAL</a:t>
          </a:r>
          <a:r>
            <a:rPr lang="en-US" sz="5400" b="1" cap="none" spc="0" baseline="0">
              <a:ln w="12700">
                <a:solidFill>
                  <a:srgbClr val="00B0F0">
                    <a:alpha val="50000"/>
                  </a:srgbClr>
                </a:solidFill>
                <a:prstDash val="solid"/>
              </a:ln>
              <a:solidFill>
                <a:srgbClr val="FF0000">
                  <a:alpha val="25000"/>
                </a:srgb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STRUCTURE GAUGE INCORRECT - CHECK AGAINST ESC215</a:t>
          </a:r>
        </a:p>
        <a:p>
          <a:pPr algn="ctr"/>
          <a:r>
            <a:rPr lang="en-US" sz="5400" b="1" cap="none" spc="0" baseline="0">
              <a:ln w="12700">
                <a:solidFill>
                  <a:srgbClr val="00B0F0">
                    <a:alpha val="50000"/>
                  </a:srgbClr>
                </a:solidFill>
                <a:prstDash val="solid"/>
              </a:ln>
              <a:solidFill>
                <a:srgbClr val="FF0000">
                  <a:alpha val="25000"/>
                </a:srgb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7.1.2</a:t>
          </a:r>
          <a:endParaRPr lang="en-US" sz="5400" b="1" cap="none" spc="0">
            <a:ln w="12700">
              <a:solidFill>
                <a:srgbClr val="00B0F0">
                  <a:alpha val="50000"/>
                </a:srgbClr>
              </a:solidFill>
              <a:prstDash val="solid"/>
            </a:ln>
            <a:solidFill>
              <a:srgbClr val="FF0000">
                <a:alpha val="25000"/>
              </a:srgb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552451</xdr:colOff>
      <xdr:row>55</xdr:row>
      <xdr:rowOff>0</xdr:rowOff>
    </xdr:from>
    <xdr:to>
      <xdr:col>20</xdr:col>
      <xdr:colOff>986119</xdr:colOff>
      <xdr:row>84</xdr:row>
      <xdr:rowOff>89647</xdr:rowOff>
    </xdr:to>
    <xdr:graphicFrame macro="">
      <xdr:nvGraphicFramePr>
        <xdr:cNvPr id="3838" name="Chart 1729">
          <a:extLst>
            <a:ext uri="{FF2B5EF4-FFF2-40B4-BE49-F238E27FC236}">
              <a16:creationId xmlns:a16="http://schemas.microsoft.com/office/drawing/2014/main" id="{00000000-0008-0000-0100-0000FE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11207</xdr:colOff>
      <xdr:row>90</xdr:row>
      <xdr:rowOff>11205</xdr:rowOff>
    </xdr:from>
    <xdr:to>
      <xdr:col>22</xdr:col>
      <xdr:colOff>717176</xdr:colOff>
      <xdr:row>121</xdr:row>
      <xdr:rowOff>145677</xdr:rowOff>
    </xdr:to>
    <xdr:graphicFrame macro="">
      <xdr:nvGraphicFramePr>
        <xdr:cNvPr id="3839" name="Chart 13">
          <a:extLst>
            <a:ext uri="{FF2B5EF4-FFF2-40B4-BE49-F238E27FC236}">
              <a16:creationId xmlns:a16="http://schemas.microsoft.com/office/drawing/2014/main" id="{00000000-0008-0000-0100-0000FF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264"/>
  <sheetViews>
    <sheetView view="pageBreakPreview" zoomScale="115" zoomScaleNormal="100" zoomScaleSheetLayoutView="115" workbookViewId="0">
      <selection activeCell="C11" sqref="C11"/>
    </sheetView>
  </sheetViews>
  <sheetFormatPr defaultRowHeight="11.5" x14ac:dyDescent="0.25"/>
  <cols>
    <col min="1" max="1" width="2.296875" customWidth="1"/>
    <col min="2" max="2" width="12.69921875" bestFit="1" customWidth="1"/>
    <col min="3" max="3" width="30.69921875" customWidth="1"/>
    <col min="4" max="4" width="7.296875" customWidth="1"/>
    <col min="5" max="5" width="36" customWidth="1"/>
    <col min="6" max="6" width="3.69921875" customWidth="1"/>
    <col min="7" max="7" width="2.3984375" customWidth="1"/>
    <col min="8" max="8" width="6.296875" customWidth="1"/>
    <col min="9" max="9" width="27.8984375" customWidth="1"/>
    <col min="10" max="10" width="9.8984375" customWidth="1"/>
    <col min="11" max="11" width="32" bestFit="1" customWidth="1"/>
  </cols>
  <sheetData>
    <row r="1" spans="1:8" ht="12" customHeight="1" x14ac:dyDescent="0.25">
      <c r="A1" s="82"/>
      <c r="B1" s="420" t="s">
        <v>74</v>
      </c>
      <c r="C1" s="420"/>
      <c r="D1" s="420"/>
      <c r="E1" s="420"/>
      <c r="F1" s="420"/>
      <c r="G1" s="83"/>
      <c r="H1" s="85"/>
    </row>
    <row r="2" spans="1:8" ht="12" customHeight="1" x14ac:dyDescent="0.25">
      <c r="A2" s="84"/>
      <c r="B2" s="421"/>
      <c r="C2" s="421"/>
      <c r="D2" s="421"/>
      <c r="E2" s="421"/>
      <c r="F2" s="421"/>
      <c r="G2" s="85"/>
      <c r="H2" s="85"/>
    </row>
    <row r="3" spans="1:8" x14ac:dyDescent="0.25">
      <c r="A3" s="84"/>
      <c r="B3" s="85"/>
      <c r="C3" s="85"/>
      <c r="D3" s="110"/>
      <c r="E3" s="85"/>
      <c r="F3" s="85"/>
      <c r="G3" s="85"/>
      <c r="H3" s="85"/>
    </row>
    <row r="4" spans="1:8" x14ac:dyDescent="0.25">
      <c r="A4" s="84"/>
      <c r="B4" s="391" t="s">
        <v>15</v>
      </c>
      <c r="C4" s="155" t="s">
        <v>3</v>
      </c>
      <c r="D4" s="114"/>
      <c r="E4" s="155" t="s">
        <v>103</v>
      </c>
      <c r="G4" s="85"/>
      <c r="H4" s="85"/>
    </row>
    <row r="5" spans="1:8" x14ac:dyDescent="0.25">
      <c r="A5" s="113"/>
      <c r="B5" s="110"/>
      <c r="C5" s="114"/>
      <c r="D5" s="114"/>
      <c r="E5" s="115"/>
      <c r="F5" s="110"/>
      <c r="G5" s="110"/>
      <c r="H5" s="110"/>
    </row>
    <row r="6" spans="1:8" x14ac:dyDescent="0.25">
      <c r="A6" s="84"/>
      <c r="B6" s="85" t="s">
        <v>20</v>
      </c>
      <c r="C6" s="155" t="s">
        <v>22</v>
      </c>
      <c r="D6" s="114"/>
      <c r="E6" s="155" t="s">
        <v>188</v>
      </c>
      <c r="F6" s="85"/>
      <c r="G6" s="85"/>
      <c r="H6" s="85"/>
    </row>
    <row r="7" spans="1:8" x14ac:dyDescent="0.25">
      <c r="A7" s="113"/>
      <c r="B7" s="110"/>
      <c r="C7" s="114"/>
      <c r="D7" s="114"/>
      <c r="E7" s="110"/>
      <c r="F7" s="110"/>
      <c r="G7" s="110"/>
      <c r="H7" s="110"/>
    </row>
    <row r="8" spans="1:8" x14ac:dyDescent="0.25">
      <c r="A8" s="84"/>
      <c r="B8" s="85" t="s">
        <v>26</v>
      </c>
      <c r="C8" s="97">
        <v>200</v>
      </c>
      <c r="D8" s="114" t="s">
        <v>79</v>
      </c>
      <c r="E8" s="155" t="s">
        <v>247</v>
      </c>
      <c r="F8" s="85"/>
      <c r="G8" s="85"/>
      <c r="H8" s="85"/>
    </row>
    <row r="9" spans="1:8" x14ac:dyDescent="0.25">
      <c r="A9" s="113"/>
      <c r="B9" s="110"/>
      <c r="C9" s="116"/>
      <c r="D9" s="114"/>
      <c r="E9" s="110"/>
      <c r="F9" s="110"/>
      <c r="G9" s="110"/>
      <c r="H9" s="110"/>
    </row>
    <row r="10" spans="1:8" x14ac:dyDescent="0.25">
      <c r="A10" s="84"/>
      <c r="B10" s="85" t="s">
        <v>19</v>
      </c>
      <c r="C10" s="118">
        <v>60</v>
      </c>
      <c r="D10" s="114" t="s">
        <v>77</v>
      </c>
      <c r="E10" s="155" t="s">
        <v>140</v>
      </c>
      <c r="F10" s="85"/>
      <c r="G10" s="85"/>
      <c r="H10" s="85"/>
    </row>
    <row r="11" spans="1:8" x14ac:dyDescent="0.25">
      <c r="A11" s="84"/>
      <c r="B11" s="85"/>
      <c r="C11" s="110"/>
      <c r="D11" s="351"/>
      <c r="E11" s="352"/>
      <c r="F11" s="85"/>
      <c r="G11" s="85"/>
      <c r="H11" s="85"/>
    </row>
    <row r="12" spans="1:8" x14ac:dyDescent="0.25">
      <c r="A12" s="84"/>
      <c r="B12" s="424" t="s">
        <v>183</v>
      </c>
      <c r="C12" s="425"/>
      <c r="D12" s="422" t="s">
        <v>166</v>
      </c>
      <c r="E12" s="423"/>
      <c r="F12" s="85"/>
      <c r="G12" s="85"/>
      <c r="H12" s="85"/>
    </row>
    <row r="13" spans="1:8" x14ac:dyDescent="0.25">
      <c r="A13" s="84"/>
      <c r="B13" s="85" t="str">
        <f>IF(AND($C$4="Medium Electric",$E$4="ARTC"),"NOTE: Medium Electric rolling stock in combination with ARTC standards includes allowance for Tangara 'plug' doors.","")</f>
        <v/>
      </c>
      <c r="C13" s="85"/>
      <c r="D13" s="110"/>
      <c r="E13" s="85"/>
      <c r="F13" s="85"/>
      <c r="G13" s="85"/>
      <c r="H13" s="85"/>
    </row>
    <row r="14" spans="1:8" x14ac:dyDescent="0.25">
      <c r="A14" s="84"/>
      <c r="B14" s="85"/>
      <c r="C14" s="387" t="s">
        <v>240</v>
      </c>
      <c r="D14" s="427" t="s">
        <v>239</v>
      </c>
      <c r="E14" s="423"/>
      <c r="F14" s="85"/>
      <c r="G14" s="85"/>
      <c r="H14" s="85"/>
    </row>
    <row r="15" spans="1:8" x14ac:dyDescent="0.25">
      <c r="A15" s="84"/>
      <c r="B15" s="85"/>
      <c r="C15" s="85"/>
      <c r="D15" s="85"/>
      <c r="E15" s="85"/>
      <c r="F15" s="85"/>
      <c r="G15" s="85"/>
      <c r="H15" s="85"/>
    </row>
    <row r="16" spans="1:8" x14ac:dyDescent="0.25">
      <c r="A16" s="84"/>
      <c r="B16" s="85"/>
      <c r="C16" s="85"/>
      <c r="D16" s="85"/>
      <c r="E16" s="85"/>
      <c r="F16" s="85"/>
      <c r="G16" s="85"/>
      <c r="H16" s="85"/>
    </row>
    <row r="17" spans="1:16" x14ac:dyDescent="0.25">
      <c r="A17" s="84"/>
      <c r="B17" s="85"/>
      <c r="C17" s="85"/>
      <c r="D17" s="85"/>
      <c r="E17" s="85"/>
      <c r="F17" s="85"/>
      <c r="G17" s="85"/>
      <c r="H17" s="85"/>
    </row>
    <row r="18" spans="1:16" x14ac:dyDescent="0.25">
      <c r="A18" s="84"/>
      <c r="B18" s="85"/>
      <c r="C18" s="85"/>
      <c r="D18" s="85"/>
      <c r="E18" s="85"/>
      <c r="F18" s="85"/>
      <c r="G18" s="85"/>
      <c r="H18" s="85"/>
    </row>
    <row r="19" spans="1:16" x14ac:dyDescent="0.25">
      <c r="A19" s="84"/>
      <c r="B19" s="85"/>
      <c r="C19" s="85"/>
      <c r="D19" s="85"/>
      <c r="E19" s="85"/>
      <c r="F19" s="85"/>
      <c r="G19" s="85"/>
      <c r="H19" s="85"/>
    </row>
    <row r="20" spans="1:16" x14ac:dyDescent="0.25">
      <c r="A20" s="84"/>
      <c r="B20" s="85"/>
      <c r="C20" s="85"/>
      <c r="D20" s="85"/>
      <c r="E20" s="85"/>
      <c r="F20" s="85"/>
      <c r="G20" s="85"/>
      <c r="H20" s="85"/>
    </row>
    <row r="21" spans="1:16" x14ac:dyDescent="0.25">
      <c r="A21" s="84"/>
      <c r="B21" s="85"/>
      <c r="C21" s="85"/>
      <c r="D21" s="85"/>
      <c r="E21" s="85"/>
      <c r="F21" s="85"/>
      <c r="G21" s="85"/>
      <c r="H21" s="85"/>
    </row>
    <row r="22" spans="1:16" x14ac:dyDescent="0.25">
      <c r="A22" s="84"/>
      <c r="B22" s="85"/>
      <c r="C22" s="85"/>
      <c r="D22" s="85"/>
      <c r="E22" s="85"/>
      <c r="F22" s="85"/>
      <c r="G22" s="85"/>
      <c r="H22" s="85"/>
    </row>
    <row r="23" spans="1:16" x14ac:dyDescent="0.25">
      <c r="A23" s="84"/>
      <c r="B23" s="85"/>
      <c r="C23" s="85"/>
      <c r="D23" s="85"/>
      <c r="E23" s="85"/>
      <c r="F23" s="85"/>
      <c r="G23" s="85"/>
      <c r="H23" s="85"/>
      <c r="J23" s="276"/>
      <c r="K23" s="276"/>
      <c r="L23" s="276"/>
      <c r="M23" s="276"/>
      <c r="N23" s="276"/>
      <c r="O23" s="276"/>
      <c r="P23" s="276"/>
    </row>
    <row r="24" spans="1:16" x14ac:dyDescent="0.25">
      <c r="A24" s="84"/>
      <c r="B24" s="85"/>
      <c r="C24" s="85"/>
      <c r="D24" s="85"/>
      <c r="E24" s="85"/>
      <c r="F24" s="85"/>
      <c r="G24" s="85"/>
      <c r="H24" s="85"/>
      <c r="J24" s="394"/>
      <c r="K24" s="394"/>
      <c r="L24" s="394"/>
      <c r="M24" s="394"/>
      <c r="N24" s="394"/>
      <c r="O24" s="394"/>
      <c r="P24" s="276"/>
    </row>
    <row r="25" spans="1:16" x14ac:dyDescent="0.25">
      <c r="A25" s="84"/>
      <c r="B25" s="85"/>
      <c r="C25" s="85"/>
      <c r="D25" s="85"/>
      <c r="E25" s="85"/>
      <c r="F25" s="85"/>
      <c r="G25" s="85"/>
      <c r="H25" s="85"/>
      <c r="I25" s="410" t="s">
        <v>248</v>
      </c>
      <c r="J25" s="411" t="str">
        <f>ROUND(Max_Right,3)&amp;"m"</f>
        <v>1.73m</v>
      </c>
      <c r="K25" s="412"/>
      <c r="L25" s="394"/>
      <c r="M25" s="394"/>
      <c r="N25" s="394"/>
      <c r="O25" s="394"/>
      <c r="P25" s="276"/>
    </row>
    <row r="26" spans="1:16" x14ac:dyDescent="0.25">
      <c r="A26" s="84"/>
      <c r="B26" s="85"/>
      <c r="C26" s="85"/>
      <c r="D26" s="85"/>
      <c r="E26" s="85"/>
      <c r="F26" s="85"/>
      <c r="G26" s="85"/>
      <c r="H26" s="85"/>
      <c r="I26" s="413" t="s">
        <v>249</v>
      </c>
      <c r="J26" s="396" t="str">
        <f>ROUND(Max_Left,3)&amp;"m"</f>
        <v>-2.018m</v>
      </c>
      <c r="K26" s="414"/>
      <c r="L26" s="394"/>
      <c r="M26" s="394"/>
      <c r="N26" s="394"/>
      <c r="O26" s="394"/>
      <c r="P26" s="276"/>
    </row>
    <row r="27" spans="1:16" x14ac:dyDescent="0.25">
      <c r="A27" s="84"/>
      <c r="B27" s="85"/>
      <c r="C27" s="85"/>
      <c r="D27" s="85"/>
      <c r="E27" s="85"/>
      <c r="F27" s="85"/>
      <c r="G27" s="85"/>
      <c r="H27" s="85"/>
      <c r="I27" s="413" t="s">
        <v>201</v>
      </c>
      <c r="J27" s="395" t="str">
        <f>ROUND(Max_Vert,3)&amp;"m"</f>
        <v>4.451m</v>
      </c>
      <c r="K27" s="414"/>
      <c r="L27" s="394"/>
      <c r="M27" s="394"/>
      <c r="N27" s="394"/>
      <c r="O27" s="394"/>
      <c r="P27" s="276"/>
    </row>
    <row r="28" spans="1:16" x14ac:dyDescent="0.25">
      <c r="A28" s="84"/>
      <c r="B28" s="85"/>
      <c r="C28" s="85"/>
      <c r="D28" s="85"/>
      <c r="E28" s="85"/>
      <c r="F28" s="85"/>
      <c r="G28" s="85"/>
      <c r="H28" s="85"/>
      <c r="I28" s="415"/>
      <c r="J28" s="394"/>
      <c r="K28" s="414"/>
      <c r="L28" s="394"/>
      <c r="M28" s="394"/>
      <c r="N28" s="394"/>
      <c r="O28" s="394"/>
      <c r="P28" s="276"/>
    </row>
    <row r="29" spans="1:16" x14ac:dyDescent="0.25">
      <c r="A29" s="84"/>
      <c r="B29" s="85"/>
      <c r="C29" s="85"/>
      <c r="D29" s="85"/>
      <c r="E29" s="85"/>
      <c r="F29" s="85"/>
      <c r="G29" s="85"/>
      <c r="H29" s="85"/>
      <c r="I29" s="413" t="s">
        <v>206</v>
      </c>
      <c r="J29" s="395" t="str">
        <f>ROUND(Str_Left,3)&amp;"m"</f>
        <v>-2.38m</v>
      </c>
      <c r="K29" s="414"/>
      <c r="L29" s="394"/>
      <c r="M29" s="394"/>
      <c r="N29" s="394"/>
      <c r="O29" s="394"/>
      <c r="P29" s="276"/>
    </row>
    <row r="30" spans="1:16" x14ac:dyDescent="0.25">
      <c r="A30" s="84"/>
      <c r="B30" s="85"/>
      <c r="C30" s="85"/>
      <c r="D30" s="85"/>
      <c r="E30" s="85"/>
      <c r="F30" s="85"/>
      <c r="G30" s="85"/>
      <c r="H30" s="85"/>
      <c r="I30" s="413" t="s">
        <v>207</v>
      </c>
      <c r="J30" s="395" t="str">
        <f>ROUND(Str_Right,3)&amp;"m"</f>
        <v>2.062m</v>
      </c>
      <c r="K30" s="414"/>
      <c r="L30" s="394"/>
      <c r="M30" s="394"/>
      <c r="N30" s="394"/>
      <c r="O30" s="394"/>
      <c r="P30" s="276"/>
    </row>
    <row r="31" spans="1:16" x14ac:dyDescent="0.25">
      <c r="A31" s="84"/>
      <c r="B31" s="85"/>
      <c r="C31" s="85"/>
      <c r="D31" s="85"/>
      <c r="E31" s="85"/>
      <c r="F31" s="85"/>
      <c r="G31" s="85"/>
      <c r="H31" s="85"/>
      <c r="I31" s="413" t="s">
        <v>208</v>
      </c>
      <c r="J31" s="395" t="str">
        <f>ROUND(Str_Height,3)&amp;"m"</f>
        <v>4.742m</v>
      </c>
      <c r="K31" s="414"/>
      <c r="L31" s="394"/>
      <c r="M31" s="394"/>
      <c r="N31" s="394"/>
      <c r="O31" s="394"/>
      <c r="P31" s="276"/>
    </row>
    <row r="32" spans="1:16" x14ac:dyDescent="0.25">
      <c r="A32" s="84"/>
      <c r="B32" s="85"/>
      <c r="C32" s="85"/>
      <c r="D32" s="85"/>
      <c r="E32" s="85"/>
      <c r="F32" s="85"/>
      <c r="G32" s="85"/>
      <c r="H32" s="85"/>
      <c r="I32" s="415"/>
      <c r="J32" s="394"/>
      <c r="K32" s="414"/>
      <c r="L32" s="394"/>
      <c r="M32" s="394"/>
      <c r="N32" s="394"/>
      <c r="O32" s="394"/>
      <c r="P32" s="276"/>
    </row>
    <row r="33" spans="1:16" x14ac:dyDescent="0.25">
      <c r="A33" s="84"/>
      <c r="B33" s="85"/>
      <c r="C33" s="85"/>
      <c r="D33" s="85"/>
      <c r="E33" s="85"/>
      <c r="F33" s="85"/>
      <c r="G33" s="85"/>
      <c r="H33" s="85"/>
      <c r="I33" s="413" t="s">
        <v>250</v>
      </c>
      <c r="J33" s="395" t="e">
        <f>ROUND(Calculations!H137,1)&amp;"mm"</f>
        <v>#VALUE!</v>
      </c>
      <c r="K33" s="414" t="s">
        <v>244</v>
      </c>
      <c r="L33" s="394"/>
      <c r="M33" s="394"/>
      <c r="N33" s="394"/>
      <c r="O33" s="394"/>
      <c r="P33" s="276"/>
    </row>
    <row r="34" spans="1:16" x14ac:dyDescent="0.25">
      <c r="A34" s="84"/>
      <c r="B34" s="85"/>
      <c r="C34" s="85"/>
      <c r="D34" s="85"/>
      <c r="E34" s="85"/>
      <c r="F34" s="85"/>
      <c r="G34" s="85"/>
      <c r="H34" s="85"/>
      <c r="I34" s="416" t="s">
        <v>251</v>
      </c>
      <c r="J34" s="417" t="str">
        <f>Calculations!I137&amp;"mm"</f>
        <v>mm</v>
      </c>
      <c r="K34" s="418"/>
      <c r="L34" s="394"/>
      <c r="M34" s="394"/>
      <c r="N34" s="394"/>
      <c r="O34" s="394"/>
      <c r="P34" s="276"/>
    </row>
    <row r="35" spans="1:16" x14ac:dyDescent="0.25">
      <c r="A35" s="84"/>
      <c r="B35" s="85"/>
      <c r="C35" s="85"/>
      <c r="D35" s="85"/>
      <c r="E35" s="85"/>
      <c r="F35" s="85"/>
      <c r="G35" s="85"/>
      <c r="H35" s="85"/>
      <c r="J35" s="395"/>
      <c r="K35" s="397"/>
      <c r="L35" s="394"/>
      <c r="M35" s="394"/>
      <c r="N35" s="394"/>
      <c r="O35" s="394"/>
      <c r="P35" s="276"/>
    </row>
    <row r="36" spans="1:16" x14ac:dyDescent="0.25">
      <c r="A36" s="84"/>
      <c r="B36" s="85"/>
      <c r="C36" s="85"/>
      <c r="D36" s="85"/>
      <c r="E36" s="85"/>
      <c r="F36" s="85"/>
      <c r="G36" s="85"/>
      <c r="H36" s="85"/>
      <c r="J36" s="393"/>
      <c r="K36" s="159"/>
      <c r="L36" s="276"/>
      <c r="M36" s="276"/>
      <c r="N36" s="276"/>
      <c r="O36" s="276"/>
      <c r="P36" s="276"/>
    </row>
    <row r="37" spans="1:16" x14ac:dyDescent="0.25">
      <c r="A37" s="84"/>
      <c r="B37" s="85"/>
      <c r="C37" s="85"/>
      <c r="D37" s="85"/>
      <c r="E37" s="85"/>
      <c r="F37" s="85"/>
      <c r="G37" s="85"/>
      <c r="H37" s="85"/>
      <c r="J37" s="393"/>
      <c r="K37" s="159"/>
      <c r="L37" s="276"/>
      <c r="M37" s="276"/>
      <c r="N37" s="276"/>
      <c r="O37" s="276"/>
      <c r="P37" s="276"/>
    </row>
    <row r="38" spans="1:16" x14ac:dyDescent="0.25">
      <c r="A38" s="84"/>
      <c r="B38" s="85"/>
      <c r="C38" s="85"/>
      <c r="D38" s="85"/>
      <c r="E38" s="85"/>
      <c r="F38" s="85"/>
      <c r="G38" s="85"/>
      <c r="H38" s="85"/>
      <c r="I38" t="s">
        <v>253</v>
      </c>
      <c r="J38" s="393"/>
      <c r="K38" s="159"/>
      <c r="L38" s="276"/>
      <c r="M38" s="276"/>
      <c r="N38" s="276"/>
      <c r="O38" s="276"/>
      <c r="P38" s="276"/>
    </row>
    <row r="39" spans="1:16" x14ac:dyDescent="0.25">
      <c r="A39" s="84"/>
      <c r="B39" s="85"/>
      <c r="C39" s="85"/>
      <c r="D39" s="85"/>
      <c r="E39" s="85"/>
      <c r="F39" s="85"/>
      <c r="G39" s="85"/>
      <c r="H39" s="85"/>
      <c r="I39" s="14" t="s">
        <v>17</v>
      </c>
      <c r="J39" s="419" t="s">
        <v>18</v>
      </c>
      <c r="K39" s="159"/>
      <c r="L39" s="276"/>
      <c r="M39" s="276"/>
      <c r="N39" s="276"/>
      <c r="O39" s="276"/>
      <c r="P39" s="276"/>
    </row>
    <row r="40" spans="1:16" x14ac:dyDescent="0.25">
      <c r="A40" s="84"/>
      <c r="B40" s="85"/>
      <c r="C40" s="85"/>
      <c r="D40" s="85"/>
      <c r="E40" s="85"/>
      <c r="F40" s="85"/>
      <c r="G40" s="85"/>
      <c r="H40" s="85"/>
      <c r="I40">
        <v>-10000</v>
      </c>
      <c r="J40" s="419">
        <v>1379</v>
      </c>
      <c r="K40" s="159"/>
      <c r="L40" s="276"/>
      <c r="M40" s="276"/>
      <c r="N40" s="276"/>
      <c r="O40" s="276"/>
      <c r="P40" s="276"/>
    </row>
    <row r="41" spans="1:16" x14ac:dyDescent="0.25">
      <c r="A41" s="84"/>
      <c r="B41" s="85"/>
      <c r="C41" s="85"/>
      <c r="D41" s="85"/>
      <c r="E41" s="85"/>
      <c r="F41" s="85"/>
      <c r="G41" s="85"/>
      <c r="H41" s="85"/>
      <c r="I41">
        <v>-1672</v>
      </c>
      <c r="J41" s="419">
        <v>1379</v>
      </c>
      <c r="K41" s="276"/>
      <c r="L41" s="276"/>
      <c r="M41" s="276"/>
      <c r="N41" s="276"/>
      <c r="O41" s="276"/>
      <c r="P41" s="276"/>
    </row>
    <row r="42" spans="1:16" x14ac:dyDescent="0.25">
      <c r="A42" s="84"/>
      <c r="B42" s="85"/>
      <c r="C42" s="85"/>
      <c r="D42" s="85"/>
      <c r="E42" s="85"/>
      <c r="F42" s="85"/>
      <c r="G42" s="85"/>
      <c r="H42" s="85"/>
      <c r="I42">
        <v>-1672</v>
      </c>
      <c r="J42" s="419">
        <v>0</v>
      </c>
      <c r="K42" s="276"/>
      <c r="L42" s="276"/>
      <c r="M42" s="276"/>
      <c r="N42" s="276"/>
      <c r="O42" s="276"/>
      <c r="P42" s="276"/>
    </row>
    <row r="43" spans="1:16" x14ac:dyDescent="0.25">
      <c r="A43" s="84"/>
      <c r="B43" s="85"/>
      <c r="C43" s="85"/>
      <c r="D43" s="85"/>
      <c r="E43" s="85"/>
      <c r="F43" s="85"/>
      <c r="G43" s="85"/>
      <c r="H43" s="85"/>
      <c r="J43" s="393"/>
      <c r="K43" s="276"/>
      <c r="L43" s="276"/>
      <c r="M43" s="276"/>
      <c r="N43" s="276"/>
      <c r="O43" s="276"/>
      <c r="P43" s="276"/>
    </row>
    <row r="44" spans="1:16" x14ac:dyDescent="0.25">
      <c r="A44" s="84"/>
      <c r="B44" s="85"/>
      <c r="C44" s="85"/>
      <c r="D44" s="85"/>
      <c r="E44" s="85"/>
      <c r="F44" s="85"/>
      <c r="G44" s="85"/>
      <c r="H44" s="85"/>
      <c r="J44" s="393"/>
      <c r="K44" s="276"/>
      <c r="L44" s="276"/>
      <c r="M44" s="276"/>
      <c r="N44" s="276"/>
      <c r="O44" s="276"/>
      <c r="P44" s="276"/>
    </row>
    <row r="45" spans="1:16" x14ac:dyDescent="0.25">
      <c r="A45" s="84"/>
      <c r="B45" s="85"/>
      <c r="C45" s="85"/>
      <c r="D45" s="85"/>
      <c r="E45" s="85"/>
      <c r="F45" s="85"/>
      <c r="G45" s="85"/>
      <c r="H45" s="85"/>
      <c r="J45" s="393"/>
      <c r="K45" s="276"/>
      <c r="L45" s="276"/>
      <c r="M45" s="276"/>
      <c r="N45" s="276"/>
      <c r="O45" s="276"/>
      <c r="P45" s="276"/>
    </row>
    <row r="46" spans="1:16" x14ac:dyDescent="0.25">
      <c r="A46" s="84"/>
      <c r="B46" s="85"/>
      <c r="C46" s="85"/>
      <c r="D46" s="85"/>
      <c r="E46" s="85"/>
      <c r="F46" s="85"/>
      <c r="G46" s="85"/>
      <c r="H46" s="85"/>
      <c r="J46" s="393"/>
      <c r="K46" s="276"/>
      <c r="L46" s="276"/>
      <c r="M46" s="276"/>
      <c r="N46" s="276"/>
      <c r="O46" s="276"/>
      <c r="P46" s="276"/>
    </row>
    <row r="47" spans="1:16" x14ac:dyDescent="0.25">
      <c r="A47" s="84"/>
      <c r="B47" s="85"/>
      <c r="C47" s="85"/>
      <c r="D47" s="85"/>
      <c r="E47" s="85"/>
      <c r="F47" s="85"/>
      <c r="G47" s="85"/>
      <c r="H47" s="85"/>
      <c r="J47" s="276"/>
      <c r="K47" s="276"/>
      <c r="L47" s="276"/>
      <c r="M47" s="276"/>
      <c r="N47" s="276"/>
      <c r="O47" s="276"/>
      <c r="P47" s="276"/>
    </row>
    <row r="48" spans="1:16" x14ac:dyDescent="0.25">
      <c r="A48" s="84"/>
      <c r="B48" s="85"/>
      <c r="C48" s="85"/>
      <c r="D48" s="85"/>
      <c r="E48" s="85"/>
      <c r="F48" s="85"/>
      <c r="G48" s="85"/>
      <c r="H48" s="85"/>
      <c r="J48" s="276"/>
      <c r="K48" s="276"/>
      <c r="L48" s="276"/>
      <c r="M48" s="276"/>
      <c r="N48" s="276"/>
      <c r="O48" s="276"/>
      <c r="P48" s="276"/>
    </row>
    <row r="49" spans="1:8" x14ac:dyDescent="0.25">
      <c r="A49" s="84"/>
      <c r="B49" s="85"/>
      <c r="C49" s="85"/>
      <c r="D49" s="85"/>
      <c r="E49" s="85"/>
      <c r="F49" s="85"/>
      <c r="G49" s="85"/>
      <c r="H49" s="85"/>
    </row>
    <row r="50" spans="1:8" x14ac:dyDescent="0.25">
      <c r="A50" s="84"/>
      <c r="B50" s="85"/>
      <c r="C50" s="85"/>
      <c r="D50" s="85"/>
      <c r="E50" s="85"/>
      <c r="F50" s="85"/>
      <c r="G50" s="85"/>
      <c r="H50" s="85"/>
    </row>
    <row r="51" spans="1:8" x14ac:dyDescent="0.25">
      <c r="A51" s="84"/>
      <c r="B51" s="426" t="str">
        <f>"Revision " &amp;Calculations!D18</f>
        <v>Revision 2.3</v>
      </c>
      <c r="C51" s="426"/>
      <c r="D51" s="85"/>
      <c r="E51" s="85"/>
      <c r="F51" s="85"/>
      <c r="G51" s="85"/>
      <c r="H51" s="85"/>
    </row>
    <row r="52" spans="1:8" x14ac:dyDescent="0.25">
      <c r="A52" s="84"/>
      <c r="B52" s="426" t="str">
        <f>"Last Modified: " &amp; DAY(Calculations!F18) &amp; "/" &amp; MONTH(Calculations!F18) &amp; "/" &amp;YEAR(Calculations!F18) &amp; " by " &amp;Calculations!H18</f>
        <v>Last Modified: 7/3/2013 by MB</v>
      </c>
      <c r="C52" s="426"/>
      <c r="D52" s="85"/>
      <c r="E52" s="85"/>
      <c r="F52" s="85"/>
      <c r="G52" s="85"/>
      <c r="H52" s="85"/>
    </row>
    <row r="53" spans="1:8" x14ac:dyDescent="0.25">
      <c r="A53" s="84"/>
      <c r="B53" s="85"/>
      <c r="C53" s="85"/>
      <c r="D53" s="85"/>
      <c r="E53" s="85"/>
      <c r="F53" s="85"/>
      <c r="G53" s="85"/>
      <c r="H53" s="85"/>
    </row>
    <row r="54" spans="1:8" ht="12" thickBot="1" x14ac:dyDescent="0.3">
      <c r="A54" s="86"/>
      <c r="F54" s="87"/>
      <c r="G54" s="87"/>
      <c r="H54" s="85"/>
    </row>
    <row r="229" spans="3:9" ht="12.5" x14ac:dyDescent="0.25">
      <c r="C229" s="4" t="str">
        <f>'Vehicle &amp; Track Data'!A3</f>
        <v>Vehicle Type</v>
      </c>
      <c r="D229" s="88"/>
      <c r="E229" s="88"/>
    </row>
    <row r="230" spans="3:9" ht="12.5" x14ac:dyDescent="0.25">
      <c r="C230" s="4" t="str">
        <f>'Vehicle &amp; Track Data'!A4</f>
        <v>Narrow Non-Electric</v>
      </c>
      <c r="D230" s="88"/>
      <c r="E230" s="88"/>
    </row>
    <row r="231" spans="3:9" ht="12.5" x14ac:dyDescent="0.25">
      <c r="C231" s="4" t="str">
        <f>'Vehicle &amp; Track Data'!A5</f>
        <v>Narrow Square</v>
      </c>
      <c r="D231" s="88"/>
      <c r="E231" s="88"/>
    </row>
    <row r="232" spans="3:9" ht="12.5" x14ac:dyDescent="0.25">
      <c r="C232" s="4" t="str">
        <f>'Vehicle &amp; Track Data'!A6</f>
        <v>Narrow Container</v>
      </c>
      <c r="D232" s="88"/>
      <c r="E232" s="88"/>
    </row>
    <row r="233" spans="3:9" ht="12.5" x14ac:dyDescent="0.25">
      <c r="C233" s="4" t="str">
        <f>'Vehicle &amp; Track Data'!A7</f>
        <v>Intersystem</v>
      </c>
      <c r="D233" s="88"/>
      <c r="E233" s="88"/>
    </row>
    <row r="234" spans="3:9" ht="12.5" x14ac:dyDescent="0.25">
      <c r="C234" s="4" t="str">
        <f>'Vehicle &amp; Track Data'!A8</f>
        <v>Narrow Hopper</v>
      </c>
      <c r="D234" s="88"/>
      <c r="E234" s="88"/>
    </row>
    <row r="235" spans="3:9" ht="12.5" x14ac:dyDescent="0.25">
      <c r="C235" s="4" t="str">
        <f>'Vehicle &amp; Track Data'!A9</f>
        <v>Double Stack</v>
      </c>
      <c r="D235" s="88"/>
      <c r="E235" s="88"/>
    </row>
    <row r="236" spans="3:9" ht="12.5" x14ac:dyDescent="0.25">
      <c r="C236" s="4" t="str">
        <f>'Vehicle &amp; Track Data'!A10</f>
        <v>Narrow Electric</v>
      </c>
      <c r="D236" s="88"/>
      <c r="E236" s="88"/>
    </row>
    <row r="237" spans="3:9" ht="12.5" x14ac:dyDescent="0.25">
      <c r="C237" s="4" t="str">
        <f>'Vehicle &amp; Track Data'!A11</f>
        <v>Medium Electric</v>
      </c>
      <c r="D237" s="88"/>
      <c r="E237" s="88"/>
    </row>
    <row r="238" spans="3:9" ht="12.5" x14ac:dyDescent="0.25">
      <c r="C238" s="4" t="str">
        <f>'Vehicle &amp; Track Data'!A12</f>
        <v>Extended Medium</v>
      </c>
      <c r="D238" s="88"/>
      <c r="E238" s="88"/>
      <c r="I238" t="s">
        <v>166</v>
      </c>
    </row>
    <row r="239" spans="3:9" ht="12.5" x14ac:dyDescent="0.25">
      <c r="C239" s="4" t="str">
        <f>'Vehicle &amp; Track Data'!A13</f>
        <v>Wide Electric</v>
      </c>
      <c r="D239" s="88"/>
      <c r="E239" s="88"/>
      <c r="I239" t="s">
        <v>178</v>
      </c>
    </row>
    <row r="240" spans="3:9" ht="12.5" x14ac:dyDescent="0.25">
      <c r="C240" s="4" t="str">
        <f>'Vehicle &amp; Track Data'!A14</f>
        <v>Out of Gauge Load</v>
      </c>
      <c r="D240" s="88"/>
      <c r="E240" s="88"/>
      <c r="I240" t="s">
        <v>179</v>
      </c>
    </row>
    <row r="241" spans="3:9" ht="12.5" x14ac:dyDescent="0.25">
      <c r="C241" s="4" t="str">
        <f>'Vehicle &amp; Track Data'!A15</f>
        <v>NZZA Wagon</v>
      </c>
      <c r="D241" s="88"/>
      <c r="E241" s="88"/>
      <c r="I241" t="s">
        <v>180</v>
      </c>
    </row>
    <row r="242" spans="3:9" ht="12.5" x14ac:dyDescent="0.25">
      <c r="C242" s="4" t="str">
        <f>'Vehicle &amp; Track Data'!A16</f>
        <v>Maximum Rolling Stock (NSW)</v>
      </c>
      <c r="D242" s="88"/>
      <c r="E242" s="88"/>
      <c r="I242" t="s">
        <v>181</v>
      </c>
    </row>
    <row r="243" spans="3:9" ht="12.5" x14ac:dyDescent="0.25">
      <c r="C243" s="4" t="str">
        <f>'Vehicle &amp; Track Data'!A17</f>
        <v>Maximum Container Loading (3010mm)</v>
      </c>
      <c r="D243" s="88"/>
      <c r="E243" s="88"/>
    </row>
    <row r="244" spans="3:9" ht="12.5" x14ac:dyDescent="0.25">
      <c r="C244" s="4" t="str">
        <f>'Vehicle &amp; Track Data'!A18</f>
        <v>ANZR</v>
      </c>
      <c r="D244" s="88"/>
      <c r="E244" s="88"/>
      <c r="I244" s="409" t="str">
        <f>'Vehicle &amp; Track Data'!A65</f>
        <v>Sleeper</v>
      </c>
    </row>
    <row r="245" spans="3:9" ht="12.5" x14ac:dyDescent="0.25">
      <c r="C245" s="4" t="str">
        <f>'Vehicle &amp; Track Data'!A19</f>
        <v>Mermec MTP Vehicle</v>
      </c>
      <c r="D245" s="88"/>
      <c r="E245" s="88"/>
      <c r="I245" t="str">
        <f>'Vehicle &amp; Track Data'!A66</f>
        <v>Wooden</v>
      </c>
    </row>
    <row r="246" spans="3:9" ht="12.5" x14ac:dyDescent="0.25">
      <c r="C246" s="4" t="str">
        <f>'Vehicle &amp; Track Data'!A20</f>
        <v>Rolling Stock Outline E</v>
      </c>
      <c r="D246" s="88"/>
      <c r="E246" s="88"/>
      <c r="I246" t="str">
        <f>'Vehicle &amp; Track Data'!A67</f>
        <v>Concrete</v>
      </c>
    </row>
    <row r="247" spans="3:9" x14ac:dyDescent="0.25">
      <c r="I247" t="str">
        <f>'Vehicle &amp; Track Data'!A68</f>
        <v>Slab Track</v>
      </c>
    </row>
    <row r="249" spans="3:9" x14ac:dyDescent="0.25">
      <c r="I249" t="s">
        <v>104</v>
      </c>
    </row>
    <row r="250" spans="3:9" x14ac:dyDescent="0.25">
      <c r="I250" t="s">
        <v>103</v>
      </c>
    </row>
    <row r="252" spans="3:9" x14ac:dyDescent="0.25">
      <c r="I252" t="s">
        <v>140</v>
      </c>
    </row>
    <row r="253" spans="3:9" x14ac:dyDescent="0.25">
      <c r="I253" t="s">
        <v>141</v>
      </c>
    </row>
    <row r="255" spans="3:9" x14ac:dyDescent="0.25">
      <c r="I255" t="s">
        <v>101</v>
      </c>
    </row>
    <row r="256" spans="3:9" x14ac:dyDescent="0.25">
      <c r="I256" t="s">
        <v>247</v>
      </c>
    </row>
    <row r="257" spans="9:9" x14ac:dyDescent="0.25">
      <c r="I257" t="s">
        <v>245</v>
      </c>
    </row>
    <row r="259" spans="9:9" x14ac:dyDescent="0.25">
      <c r="I259" s="392" t="s">
        <v>239</v>
      </c>
    </row>
    <row r="260" spans="9:9" x14ac:dyDescent="0.25">
      <c r="I260" s="392" t="s">
        <v>241</v>
      </c>
    </row>
    <row r="261" spans="9:9" x14ac:dyDescent="0.25">
      <c r="I261" s="392" t="s">
        <v>242</v>
      </c>
    </row>
    <row r="263" spans="9:9" x14ac:dyDescent="0.25">
      <c r="I263" t="s">
        <v>188</v>
      </c>
    </row>
    <row r="264" spans="9:9" x14ac:dyDescent="0.25">
      <c r="I264" t="s">
        <v>246</v>
      </c>
    </row>
  </sheetData>
  <sheetProtection selectLockedCells="1"/>
  <protectedRanges>
    <protectedRange sqref="C4:D10 E8:E10" name="Range1"/>
  </protectedRanges>
  <dataConsolidate/>
  <mergeCells count="6">
    <mergeCell ref="B1:F2"/>
    <mergeCell ref="D12:E12"/>
    <mergeCell ref="B12:C12"/>
    <mergeCell ref="B51:C51"/>
    <mergeCell ref="B52:C52"/>
    <mergeCell ref="D14:E14"/>
  </mergeCells>
  <phoneticPr fontId="6" type="noConversion"/>
  <conditionalFormatting sqref="C8">
    <cfRule type="expression" dxfId="8" priority="8" stopIfTrue="1">
      <formula>IF($E$8&lt;&gt;"Tangent",FALSE,TRUE)</formula>
    </cfRule>
  </conditionalFormatting>
  <conditionalFormatting sqref="B8">
    <cfRule type="expression" dxfId="7" priority="9" stopIfTrue="1">
      <formula>IF($E$8&lt;&gt;"Tangent",FALSE,TRUE)</formula>
    </cfRule>
  </conditionalFormatting>
  <conditionalFormatting sqref="D8">
    <cfRule type="expression" dxfId="6" priority="10" stopIfTrue="1">
      <formula>IF($E$8&lt;&gt;"Tangent",FALSE,TRUE)</formula>
    </cfRule>
  </conditionalFormatting>
  <conditionalFormatting sqref="E10">
    <cfRule type="expression" dxfId="5" priority="5">
      <formula>IF($C$10=0,TRUE,FALSE)</formula>
    </cfRule>
  </conditionalFormatting>
  <conditionalFormatting sqref="C10">
    <cfRule type="expression" dxfId="4" priority="16" stopIfTrue="1">
      <formula>IF(AND(C10&gt;20,OR(AND(LEFT(E8,4)="Left",E10="Low Rail Right"),AND(LEFT(E8,5)="Right",E10="Low Rail Left"))),TRUE,FALSE)</formula>
    </cfRule>
  </conditionalFormatting>
  <conditionalFormatting sqref="E8">
    <cfRule type="expression" dxfId="3" priority="17" stopIfTrue="1">
      <formula>IF(AND(C10&gt;20,E8="Tangent"),TRUE,FALSE)</formula>
    </cfRule>
  </conditionalFormatting>
  <conditionalFormatting sqref="D12:E12">
    <cfRule type="expression" dxfId="2" priority="4">
      <formula>IF($E$4="ARTC",TRUE,0)</formula>
    </cfRule>
  </conditionalFormatting>
  <conditionalFormatting sqref="C14">
    <cfRule type="expression" dxfId="1" priority="2">
      <formula>IF(OR($D$12="Plain Line",$E$4="ARTC",ISERROR(VLOOKUP(Vehicle_Type,RC_Platform_Clearance,1,FALSE))),TRUE,FALSE)</formula>
    </cfRule>
  </conditionalFormatting>
  <conditionalFormatting sqref="D14:E14">
    <cfRule type="expression" dxfId="0" priority="1">
      <formula>IF(OR($D$12="Plain Line",$E$4="ARTC",ISERROR(VLOOKUP(Vehicle_Type,RC_Platform_Clearance,1,FALSE))),TRUE,FALSE)</formula>
    </cfRule>
  </conditionalFormatting>
  <dataValidations count="11">
    <dataValidation type="list" allowBlank="1" showInputMessage="1" showErrorMessage="1" sqref="C4:C5" xr:uid="{00000000-0002-0000-0000-000000000000}">
      <formula1>$C$230:$C$246</formula1>
    </dataValidation>
    <dataValidation type="decimal" operator="greaterThanOrEqual" allowBlank="1" showInputMessage="1" showErrorMessage="1" errorTitle="Invalid Curve Radius" error="Insert a curve radius greater or equal to 0 metres" sqref="C8:C9" xr:uid="{00000000-0002-0000-0000-000001000000}">
      <formula1>0</formula1>
    </dataValidation>
    <dataValidation type="decimal" operator="greaterThanOrEqual" allowBlank="1" showInputMessage="1" showErrorMessage="1" sqref="C10" xr:uid="{00000000-0002-0000-0000-000002000000}">
      <formula1>0</formula1>
    </dataValidation>
    <dataValidation type="list" allowBlank="1" showInputMessage="1" showErrorMessage="1" sqref="D12:E12" xr:uid="{00000000-0002-0000-0000-000003000000}">
      <formula1>$I$238:$I$242</formula1>
    </dataValidation>
    <dataValidation type="list" allowBlank="1" showInputMessage="1" showErrorMessage="1" sqref="E9" xr:uid="{00000000-0002-0000-0000-000004000000}">
      <formula1>#REF!</formula1>
    </dataValidation>
    <dataValidation type="list" allowBlank="1" showInputMessage="1" showErrorMessage="1" sqref="E4" xr:uid="{00000000-0002-0000-0000-000005000000}">
      <formula1>$I$249:$I$250</formula1>
    </dataValidation>
    <dataValidation type="list" allowBlank="1" showInputMessage="1" showErrorMessage="1" sqref="C6:C7" xr:uid="{00000000-0002-0000-0000-000006000000}">
      <formula1>$I$245:$I$247</formula1>
    </dataValidation>
    <dataValidation type="list" allowBlank="1" showInputMessage="1" showErrorMessage="1" sqref="E10" xr:uid="{00000000-0002-0000-0000-000007000000}">
      <formula1>$I$252:$I$253</formula1>
    </dataValidation>
    <dataValidation type="list" allowBlank="1" showInputMessage="1" showErrorMessage="1" sqref="D14:E14" xr:uid="{00000000-0002-0000-0000-000008000000}">
      <formula1>$I$259:$I$261</formula1>
    </dataValidation>
    <dataValidation type="list" allowBlank="1" showInputMessage="1" showErrorMessage="1" sqref="E8" xr:uid="{00000000-0002-0000-0000-000009000000}">
      <formula1>$I$255:$I$257</formula1>
    </dataValidation>
    <dataValidation type="list" allowBlank="1" showInputMessage="1" showErrorMessage="1" sqref="E6" xr:uid="{00000000-0002-0000-0000-00000A000000}">
      <formula1>$I$263:$I$264</formula1>
    </dataValidation>
  </dataValidations>
  <pageMargins left="0.7" right="0.7" top="0.75" bottom="0.75" header="0.3" footer="0.3"/>
  <pageSetup paperSize="9" scale="98" orientation="portrait" horizontalDpi="300" r:id="rId1"/>
  <rowBreaks count="1" manualBreakCount="1">
    <brk id="54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N370"/>
  <sheetViews>
    <sheetView topLeftCell="A36" zoomScale="85" zoomScaleNormal="85" workbookViewId="0">
      <selection activeCell="D6" sqref="D6"/>
    </sheetView>
  </sheetViews>
  <sheetFormatPr defaultRowHeight="11.5" x14ac:dyDescent="0.25"/>
  <cols>
    <col min="2" max="2" width="6.69921875" customWidth="1"/>
    <col min="3" max="3" width="19.3984375" customWidth="1"/>
    <col min="4" max="4" width="38.8984375" bestFit="1" customWidth="1"/>
    <col min="5" max="5" width="14.09765625" customWidth="1"/>
    <col min="6" max="6" width="22" bestFit="1" customWidth="1"/>
    <col min="7" max="7" width="8.59765625" customWidth="1"/>
    <col min="8" max="8" width="10" customWidth="1"/>
    <col min="9" max="9" width="25.3984375" customWidth="1"/>
    <col min="10" max="10" width="9" bestFit="1" customWidth="1"/>
    <col min="11" max="11" width="25.59765625" customWidth="1"/>
    <col min="12" max="12" width="27.59765625" customWidth="1"/>
    <col min="13" max="13" width="11.296875" bestFit="1" customWidth="1"/>
    <col min="14" max="14" width="12" bestFit="1" customWidth="1"/>
    <col min="15" max="15" width="12.59765625" bestFit="1" customWidth="1"/>
    <col min="16" max="17" width="12" bestFit="1" customWidth="1"/>
    <col min="18" max="19" width="10" customWidth="1"/>
    <col min="20" max="20" width="15.8984375" customWidth="1"/>
    <col min="21" max="21" width="20.296875" customWidth="1"/>
    <col min="22" max="22" width="23.8984375" bestFit="1" customWidth="1"/>
    <col min="23" max="23" width="35.69921875" customWidth="1"/>
    <col min="24" max="24" width="23.8984375" bestFit="1" customWidth="1"/>
    <col min="25" max="25" width="24.59765625" bestFit="1" customWidth="1"/>
    <col min="26" max="26" width="13" customWidth="1"/>
    <col min="27" max="27" width="10" customWidth="1"/>
    <col min="28" max="28" width="15.59765625" bestFit="1" customWidth="1"/>
    <col min="29" max="29" width="11.09765625" customWidth="1"/>
    <col min="30" max="30" width="13.8984375" bestFit="1" customWidth="1"/>
    <col min="31" max="31" width="27" customWidth="1"/>
    <col min="32" max="32" width="27.59765625" customWidth="1"/>
    <col min="33" max="33" width="10" customWidth="1"/>
    <col min="34" max="34" width="16.3984375" customWidth="1"/>
    <col min="35" max="36" width="10" customWidth="1"/>
    <col min="37" max="37" width="13.8984375" bestFit="1" customWidth="1"/>
    <col min="38" max="38" width="12" bestFit="1" customWidth="1"/>
    <col min="39" max="39" width="12.296875" bestFit="1" customWidth="1"/>
    <col min="40" max="44" width="10" customWidth="1"/>
    <col min="45" max="45" width="10.8984375" bestFit="1" customWidth="1"/>
    <col min="46" max="46" width="11.3984375" bestFit="1" customWidth="1"/>
    <col min="47" max="47" width="11.59765625" bestFit="1" customWidth="1"/>
    <col min="48" max="48" width="12.296875" bestFit="1" customWidth="1"/>
    <col min="49" max="49" width="11.59765625" bestFit="1" customWidth="1"/>
    <col min="50" max="50" width="9.3984375" bestFit="1" customWidth="1"/>
    <col min="51" max="51" width="9" bestFit="1" customWidth="1"/>
    <col min="52" max="52" width="8.3984375" bestFit="1" customWidth="1"/>
    <col min="54" max="54" width="10" customWidth="1"/>
    <col min="57" max="57" width="16.3984375" bestFit="1" customWidth="1"/>
    <col min="58" max="58" width="11.09765625" customWidth="1"/>
    <col min="60" max="60" width="8.69921875" customWidth="1"/>
    <col min="64" max="64" width="12.8984375" bestFit="1" customWidth="1"/>
    <col min="65" max="65" width="10.59765625" customWidth="1"/>
    <col min="67" max="67" width="5" bestFit="1" customWidth="1"/>
    <col min="71" max="71" width="15.8984375" bestFit="1" customWidth="1"/>
    <col min="78" max="78" width="9.296875" customWidth="1"/>
    <col min="79" max="80" width="10.09765625" customWidth="1"/>
    <col min="81" max="81" width="9.69921875" customWidth="1"/>
    <col min="88" max="88" width="23.296875" bestFit="1" customWidth="1"/>
  </cols>
  <sheetData>
    <row r="1" spans="2:26" ht="12" thickBot="1" x14ac:dyDescent="0.3"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Q1" s="276"/>
      <c r="R1" s="276"/>
    </row>
    <row r="2" spans="2:26" x14ac:dyDescent="0.25">
      <c r="B2" s="143"/>
      <c r="C2" s="431" t="s">
        <v>118</v>
      </c>
      <c r="D2" s="443"/>
      <c r="E2" s="432"/>
      <c r="F2" s="435" t="s">
        <v>120</v>
      </c>
      <c r="G2" s="435"/>
      <c r="H2" s="436"/>
      <c r="I2" s="435" t="s">
        <v>121</v>
      </c>
      <c r="J2" s="435"/>
      <c r="K2" s="436"/>
      <c r="L2" s="435" t="s">
        <v>107</v>
      </c>
      <c r="M2" s="435"/>
      <c r="N2" s="436"/>
      <c r="Q2" s="190"/>
      <c r="R2" s="190"/>
    </row>
    <row r="3" spans="2:26" x14ac:dyDescent="0.25">
      <c r="B3" s="143"/>
      <c r="C3" s="161" t="s">
        <v>137</v>
      </c>
      <c r="D3" s="159" t="str">
        <f>INPUT!E4</f>
        <v>RailCorp</v>
      </c>
      <c r="E3" s="143"/>
      <c r="F3" s="149" t="s">
        <v>106</v>
      </c>
      <c r="G3" s="137">
        <v>1435</v>
      </c>
      <c r="H3" s="143" t="s">
        <v>77</v>
      </c>
      <c r="I3" s="149" t="s">
        <v>27</v>
      </c>
      <c r="J3" s="136">
        <f>VLOOKUP($D$4,Vehicle_Characteristics,2,FALSE)</f>
        <v>16155</v>
      </c>
      <c r="K3" s="146" t="s">
        <v>77</v>
      </c>
      <c r="L3" s="217" t="s">
        <v>108</v>
      </c>
      <c r="M3" s="139">
        <f>D8*(G3/M6)</f>
        <v>57.209302325581397</v>
      </c>
      <c r="N3" s="215" t="s">
        <v>77</v>
      </c>
      <c r="O3" s="11"/>
      <c r="Q3" s="182"/>
      <c r="R3" s="182"/>
      <c r="X3" s="98"/>
      <c r="Y3" s="98"/>
      <c r="Z3" s="15"/>
    </row>
    <row r="4" spans="2:26" x14ac:dyDescent="0.25">
      <c r="B4" s="143"/>
      <c r="C4" s="162" t="s">
        <v>119</v>
      </c>
      <c r="D4" s="159" t="str">
        <f>INPUT!$C$4</f>
        <v>Narrow Non-Electric</v>
      </c>
      <c r="E4" s="143"/>
      <c r="F4" s="150" t="s">
        <v>123</v>
      </c>
      <c r="G4" s="136">
        <f>IF($D$3="RailCorp",IF($D$14="Plain Line",VLOOKUP($D$5,RC_Tolerances,2,FALSE),VLOOKUP($D$14,RC_Platform_Tolerances,2,FALSE)),VLOOKUP($D$5,ARTC_Tolerances,2,FALSE))</f>
        <v>15</v>
      </c>
      <c r="H4" s="147" t="s">
        <v>77</v>
      </c>
      <c r="I4" s="150" t="s">
        <v>125</v>
      </c>
      <c r="J4" s="136">
        <f>VLOOKUP($D$4,Vehicle_Characteristics,8,FALSE)</f>
        <v>60</v>
      </c>
      <c r="K4" s="147" t="s">
        <v>77</v>
      </c>
      <c r="L4" s="218" t="s">
        <v>109</v>
      </c>
      <c r="M4" s="301">
        <f>IF(D12="Left",ASIN($M$3/$G$3),-ASIN($M$3/$G$3))</f>
        <v>3.9877677902155372E-2</v>
      </c>
      <c r="N4" s="216" t="s">
        <v>110</v>
      </c>
      <c r="Q4" s="182"/>
      <c r="R4" s="182"/>
      <c r="X4" s="98"/>
      <c r="Y4" s="98"/>
      <c r="Z4" s="15"/>
    </row>
    <row r="5" spans="2:26" x14ac:dyDescent="0.25">
      <c r="B5" s="143"/>
      <c r="C5" s="162" t="s">
        <v>138</v>
      </c>
      <c r="D5" s="159" t="str">
        <f>INPUT!C6</f>
        <v>Concrete</v>
      </c>
      <c r="E5" s="143"/>
      <c r="F5" s="150" t="s">
        <v>122</v>
      </c>
      <c r="G5" s="136">
        <f>IF($D$3="RailCorp",IF($D$14="Plain Line",VLOOKUP($D$5,RC_Tolerances,3,FALSE),VLOOKUP($D$14,RC_Platform_Tolerances,2,FALSE)),VLOOKUP($D$5,ARTC_Tolerances,3,FALSE))</f>
        <v>25</v>
      </c>
      <c r="H5" s="143" t="s">
        <v>77</v>
      </c>
      <c r="I5" s="150" t="s">
        <v>28</v>
      </c>
      <c r="J5" s="136">
        <f>VLOOKUP($D$4,Vehicle_Characteristics,4,FALSE)</f>
        <v>22861</v>
      </c>
      <c r="K5" s="147" t="s">
        <v>77</v>
      </c>
      <c r="L5" s="144" t="s">
        <v>109</v>
      </c>
      <c r="M5" s="140">
        <f>DEGREES(M4)</f>
        <v>2.2848226405756096</v>
      </c>
      <c r="N5" s="147" t="s">
        <v>111</v>
      </c>
      <c r="Q5" s="190"/>
      <c r="R5" s="182"/>
      <c r="X5" s="98"/>
      <c r="Y5" s="98"/>
      <c r="Z5" s="15"/>
    </row>
    <row r="6" spans="2:26" x14ac:dyDescent="0.25">
      <c r="B6" s="143"/>
      <c r="C6" s="162" t="s">
        <v>131</v>
      </c>
      <c r="D6" s="159" t="str">
        <f>INPUT!$E$8</f>
        <v>Left Hand Curve</v>
      </c>
      <c r="E6" s="143"/>
      <c r="F6" s="151" t="s">
        <v>171</v>
      </c>
      <c r="G6" s="136">
        <f>IF($D$9,IF($D$3="RailCorp",IF($D$14="Plain Line",VLOOKUP($D$5,RC_Tolerances,5,FALSE),VLOOKUP($D$14,RC_Platform_Tolerances,3,FALSE)),VLOOKUP($D$5,ARTC_Tolerances,5,FALSE)),0)</f>
        <v>100</v>
      </c>
      <c r="H6" s="143" t="s">
        <v>77</v>
      </c>
      <c r="I6" s="150" t="s">
        <v>29</v>
      </c>
      <c r="J6" s="136">
        <f>VLOOKUP($D$4,Vehicle_Characteristics,3,FALSE)</f>
        <v>3353</v>
      </c>
      <c r="K6" s="147" t="s">
        <v>77</v>
      </c>
      <c r="L6" s="145" t="s">
        <v>69</v>
      </c>
      <c r="M6" s="14">
        <f>G3+70</f>
        <v>1505</v>
      </c>
      <c r="N6" s="160" t="s">
        <v>77</v>
      </c>
      <c r="Q6" s="190"/>
      <c r="R6" s="182"/>
      <c r="X6" s="98"/>
      <c r="Y6" s="98"/>
      <c r="Z6" s="15"/>
    </row>
    <row r="7" spans="2:26" x14ac:dyDescent="0.25">
      <c r="B7" s="143"/>
      <c r="C7" s="162" t="s">
        <v>26</v>
      </c>
      <c r="D7" s="137">
        <f>IF($D$10,0,ROUND(INPUT!C8,3))</f>
        <v>200</v>
      </c>
      <c r="E7" s="143" t="s">
        <v>79</v>
      </c>
      <c r="F7" s="151" t="s">
        <v>172</v>
      </c>
      <c r="G7" s="182">
        <f>IF($D$9,IF($D$3="RailCorp",IF($D$14="Plain Line",VLOOKUP($D$5,RC_Tolerances,6,FALSE),VLOOKUP($D$14,RC_Platform_Tolerances,4,FALSE)),VLOOKUP($D$5,ARTC_Tolerances,5,FALSE)),0)</f>
        <v>150</v>
      </c>
      <c r="H7" s="184" t="s">
        <v>77</v>
      </c>
      <c r="I7" s="150" t="s">
        <v>30</v>
      </c>
      <c r="J7" s="136">
        <f>VLOOKUP($D$4,Vehicle_Characteristics,5,FALSE)</f>
        <v>2970</v>
      </c>
      <c r="K7" s="147" t="s">
        <v>77</v>
      </c>
      <c r="L7" s="213" t="s">
        <v>145</v>
      </c>
      <c r="M7">
        <f>G9*(G3/M6)</f>
        <v>9.5348837209302335</v>
      </c>
      <c r="N7" s="214" t="s">
        <v>77</v>
      </c>
      <c r="Q7" s="190"/>
      <c r="R7" s="182"/>
    </row>
    <row r="8" spans="2:26" x14ac:dyDescent="0.25">
      <c r="B8" s="143"/>
      <c r="C8" s="162" t="s">
        <v>19</v>
      </c>
      <c r="D8" s="171">
        <f>INPUT!C10</f>
        <v>60</v>
      </c>
      <c r="E8" s="143" t="s">
        <v>77</v>
      </c>
      <c r="F8" s="151" t="s">
        <v>132</v>
      </c>
      <c r="G8" s="136">
        <f>IF($D$3="RailCorp",VLOOKUP($D$5,RC_Tolerances,4,FALSE),VLOOKUP($D$5,ARTC_Tolerances,4,FALSE))</f>
        <v>15</v>
      </c>
      <c r="H8" s="143" t="s">
        <v>77</v>
      </c>
      <c r="I8" s="150" t="s">
        <v>126</v>
      </c>
      <c r="J8" s="11">
        <f>IF(INPUT!E4="RailCorp",VLOOKUP($D$4,Vehicle_Characteristics,6,FALSE),2)</f>
        <v>2</v>
      </c>
      <c r="K8" s="148" t="s">
        <v>111</v>
      </c>
      <c r="L8" s="138" t="s">
        <v>130</v>
      </c>
      <c r="M8" s="157">
        <f>ASIN(($G$9*$G$3/$M$6)/$G$3)</f>
        <v>6.6445671655595015E-3</v>
      </c>
      <c r="N8" s="143" t="s">
        <v>110</v>
      </c>
      <c r="Q8" s="190"/>
      <c r="R8" s="190"/>
    </row>
    <row r="9" spans="2:26" x14ac:dyDescent="0.25">
      <c r="B9" s="143"/>
      <c r="C9" s="162" t="s">
        <v>78</v>
      </c>
      <c r="D9" s="9" t="b">
        <f>IF(RIGHT(INPUT!E6,2)="On",TRUE,FALSE)</f>
        <v>1</v>
      </c>
      <c r="E9" s="143"/>
      <c r="F9" s="151" t="s">
        <v>124</v>
      </c>
      <c r="G9" s="137">
        <f>IF($D$3="RailCorp",IF($D$14="Plain Line",VLOOKUP($D$5,RC_Tolerances,7,FALSE),VLOOKUP($D$14,RC_Platform_Tolerances,5,FALSE)),VLOOKUP($D$5,ARTC_Tolerances,6,FALSE))</f>
        <v>10</v>
      </c>
      <c r="H9" s="147" t="s">
        <v>77</v>
      </c>
      <c r="I9" s="150" t="s">
        <v>126</v>
      </c>
      <c r="J9" s="99">
        <f>RADIANS($J$8)</f>
        <v>3.4906585039886591E-2</v>
      </c>
      <c r="K9" s="148" t="s">
        <v>127</v>
      </c>
      <c r="L9" s="138" t="s">
        <v>130</v>
      </c>
      <c r="M9" s="302">
        <f>DEGREES(M8)</f>
        <v>0.38070565527776357</v>
      </c>
      <c r="N9" s="143" t="s">
        <v>111</v>
      </c>
      <c r="Q9" s="190"/>
      <c r="R9" s="190"/>
    </row>
    <row r="10" spans="2:26" x14ac:dyDescent="0.25">
      <c r="B10" s="143"/>
      <c r="C10" s="162" t="s">
        <v>101</v>
      </c>
      <c r="D10" s="159" t="b">
        <f>IF(OR($D$6="Tangent",INPUT!$C$8=0),TRUE,FALSE)</f>
        <v>0</v>
      </c>
      <c r="E10" s="143"/>
      <c r="F10" s="151" t="s">
        <v>136</v>
      </c>
      <c r="G10" s="137">
        <f>IF($D$3="RailCorp",IF(OR($D$10,$D$7&gt;2000),VLOOKUP($D$5,RC_Tolerances,2,FALSE),VLOOKUP($D$5,RC_Tolerances,3,FALSE)),IF($D$10,VLOOKUP($D$5,ARTC_Tolerances,2,FALSE),VLOOKUP($D$5,ARTC_Tolerances,3,FALSE)))</f>
        <v>25</v>
      </c>
      <c r="H10" s="147" t="s">
        <v>77</v>
      </c>
      <c r="I10" s="150" t="s">
        <v>33</v>
      </c>
      <c r="J10" s="11">
        <v>610</v>
      </c>
      <c r="K10" s="148" t="s">
        <v>77</v>
      </c>
      <c r="L10" s="138" t="s">
        <v>143</v>
      </c>
      <c r="M10">
        <f>IF(D12="Right",G3/2,-G3/2)</f>
        <v>-717.5</v>
      </c>
      <c r="N10" s="143" t="s">
        <v>77</v>
      </c>
      <c r="Q10" s="276"/>
      <c r="R10" s="276"/>
    </row>
    <row r="11" spans="2:26" x14ac:dyDescent="0.25">
      <c r="B11" s="143"/>
      <c r="C11" s="162" t="s">
        <v>139</v>
      </c>
      <c r="D11" s="9" t="b">
        <f>IF(INPUT!C10=0,TRUE,FALSE)</f>
        <v>0</v>
      </c>
      <c r="E11" s="143"/>
      <c r="F11" s="191"/>
      <c r="G11" s="190"/>
      <c r="H11" s="183"/>
      <c r="I11" s="182" t="s">
        <v>146</v>
      </c>
      <c r="J11" s="170">
        <f>(MAX(E22:E51)-MIN(E22:E51))/2</f>
        <v>2135</v>
      </c>
      <c r="K11" s="148" t="s">
        <v>77</v>
      </c>
      <c r="L11" s="138" t="s">
        <v>144</v>
      </c>
      <c r="M11" s="9">
        <v>0</v>
      </c>
      <c r="N11" s="143" t="s">
        <v>77</v>
      </c>
    </row>
    <row r="12" spans="2:26" x14ac:dyDescent="0.25">
      <c r="B12" s="173"/>
      <c r="C12" s="172" t="s">
        <v>142</v>
      </c>
      <c r="D12" s="169" t="str">
        <f>IF(NOT($D$11),IF(RIGHT(INPUT!E10,5)="Right","Right","Left"),"")</f>
        <v>Left</v>
      </c>
      <c r="E12" s="178"/>
      <c r="F12" s="192"/>
      <c r="G12" s="137"/>
      <c r="H12" s="184"/>
      <c r="I12" s="188" t="s">
        <v>49</v>
      </c>
      <c r="J12" s="11">
        <f>VLOOKUP($D$4,Vehicle_Characteristics,7,FALSE)</f>
        <v>50</v>
      </c>
      <c r="K12" s="180" t="s">
        <v>77</v>
      </c>
      <c r="L12" s="186"/>
      <c r="M12" s="9"/>
      <c r="N12" s="178"/>
    </row>
    <row r="13" spans="2:26" x14ac:dyDescent="0.25">
      <c r="B13" s="216"/>
      <c r="C13" s="182" t="s">
        <v>158</v>
      </c>
      <c r="D13" s="303" t="str">
        <f>IF($D$7&lt;&gt;0,IF(INPUT!$E$8="Left Hand Curve","Left","Right"),"")</f>
        <v>Left</v>
      </c>
      <c r="E13" s="216"/>
      <c r="F13" s="192"/>
      <c r="G13" s="190"/>
      <c r="H13" s="184"/>
      <c r="I13" s="188"/>
      <c r="J13" s="11"/>
      <c r="K13" s="180"/>
      <c r="L13" s="186"/>
      <c r="M13" s="276"/>
      <c r="N13" s="216"/>
    </row>
    <row r="14" spans="2:26" ht="12" thickBot="1" x14ac:dyDescent="0.3">
      <c r="B14" s="173"/>
      <c r="C14" s="174" t="s">
        <v>165</v>
      </c>
      <c r="D14" s="194" t="str">
        <f>INPUT!$D$12</f>
        <v>Plain Line</v>
      </c>
      <c r="E14" s="179"/>
      <c r="F14" s="193"/>
      <c r="G14" s="176"/>
      <c r="H14" s="185"/>
      <c r="I14" s="189"/>
      <c r="J14" s="177"/>
      <c r="K14" s="181"/>
      <c r="L14" s="187"/>
      <c r="M14" s="175"/>
      <c r="N14" s="179"/>
    </row>
    <row r="15" spans="2:26" x14ac:dyDescent="0.25">
      <c r="B15" s="276"/>
      <c r="C15" s="182" t="s">
        <v>238</v>
      </c>
      <c r="D15" s="389" t="b">
        <f>IF(OR(D14="Plain Line",D3="ARTC",ISERROR(VLOOKUP(Vehicle_Type,RC_Platform_Clearance,1,FALSE))),FALSE,IF(INPUT!D14="No",FALSE,TRUE))</f>
        <v>0</v>
      </c>
      <c r="E15" s="276"/>
      <c r="F15" s="190"/>
      <c r="G15" s="190"/>
      <c r="H15" s="11"/>
      <c r="I15" s="182"/>
      <c r="J15" s="11"/>
      <c r="K15" s="158"/>
      <c r="L15" s="276"/>
      <c r="M15" s="276"/>
      <c r="N15" s="276"/>
    </row>
    <row r="16" spans="2:26" x14ac:dyDescent="0.25">
      <c r="B16" s="276"/>
      <c r="C16" s="182" t="s">
        <v>243</v>
      </c>
      <c r="D16" s="389" t="b">
        <f>IF(D15,IF(MID(INPUT!D14,7,5)="Right","Right","Left"))</f>
        <v>0</v>
      </c>
      <c r="E16" s="276"/>
      <c r="F16" s="190"/>
      <c r="G16" s="190"/>
      <c r="H16" s="11"/>
      <c r="I16" s="182"/>
      <c r="J16" s="11"/>
      <c r="K16" s="158"/>
      <c r="L16" s="276"/>
      <c r="M16" s="276"/>
      <c r="N16" s="276"/>
    </row>
    <row r="17" spans="2:74" x14ac:dyDescent="0.25">
      <c r="B17" s="9"/>
      <c r="C17" s="136"/>
      <c r="D17" s="169"/>
      <c r="E17" s="9"/>
      <c r="F17" s="137"/>
      <c r="G17" s="137"/>
      <c r="H17" s="11"/>
      <c r="I17" s="136"/>
      <c r="J17" s="11"/>
      <c r="K17" s="158"/>
      <c r="L17" s="9"/>
      <c r="M17" s="9"/>
      <c r="N17" s="9"/>
    </row>
    <row r="18" spans="2:74" x14ac:dyDescent="0.25">
      <c r="B18" s="379" t="s">
        <v>195</v>
      </c>
      <c r="C18" s="380" t="s">
        <v>163</v>
      </c>
      <c r="D18" s="381" t="s">
        <v>252</v>
      </c>
      <c r="E18" s="382" t="s">
        <v>194</v>
      </c>
      <c r="F18" s="383">
        <v>41340</v>
      </c>
      <c r="G18" s="380" t="s">
        <v>196</v>
      </c>
      <c r="H18" s="384" t="s">
        <v>197</v>
      </c>
      <c r="K18" s="158"/>
      <c r="L18" s="9"/>
      <c r="M18" s="9"/>
      <c r="N18" s="9"/>
    </row>
    <row r="19" spans="2:74" ht="12" thickBot="1" x14ac:dyDescent="0.3"/>
    <row r="20" spans="2:74" ht="12" thickBot="1" x14ac:dyDescent="0.3">
      <c r="B20" s="428" t="s">
        <v>50</v>
      </c>
      <c r="C20" s="429"/>
      <c r="D20" s="429"/>
      <c r="E20" s="430"/>
      <c r="F20" s="440" t="s">
        <v>19</v>
      </c>
      <c r="G20" s="441"/>
      <c r="H20" s="441"/>
      <c r="I20" s="441"/>
      <c r="J20" s="441"/>
      <c r="K20" s="442"/>
      <c r="L20" s="428" t="s">
        <v>45</v>
      </c>
      <c r="M20" s="429"/>
      <c r="N20" s="429"/>
      <c r="O20" s="429"/>
      <c r="P20" s="429"/>
      <c r="Q20" s="429"/>
      <c r="R20" s="429"/>
      <c r="S20" s="429"/>
      <c r="T20" s="429"/>
      <c r="U20" s="430"/>
      <c r="V20" s="90" t="s">
        <v>46</v>
      </c>
      <c r="W20" s="89" t="s">
        <v>169</v>
      </c>
      <c r="X20" s="428" t="s">
        <v>147</v>
      </c>
      <c r="Y20" s="429"/>
      <c r="Z20" s="429"/>
      <c r="AA20" s="430"/>
      <c r="AB20" s="428" t="s">
        <v>47</v>
      </c>
      <c r="AC20" s="429"/>
      <c r="AD20" s="429"/>
      <c r="AE20" s="430"/>
      <c r="AF20" s="428" t="s">
        <v>48</v>
      </c>
      <c r="AG20" s="429"/>
      <c r="AH20" s="429"/>
      <c r="AI20" s="429"/>
      <c r="AJ20" s="429"/>
      <c r="AK20" s="429"/>
      <c r="AL20" s="429"/>
      <c r="AM20" s="429"/>
      <c r="AN20" s="429"/>
      <c r="AO20" s="429"/>
      <c r="AP20" s="429"/>
      <c r="AQ20" s="429"/>
      <c r="AR20" s="430"/>
      <c r="AS20" s="428" t="s">
        <v>49</v>
      </c>
      <c r="AT20" s="429"/>
      <c r="AU20" s="429"/>
      <c r="AV20" s="429"/>
      <c r="AW20" s="429"/>
      <c r="AX20" s="430"/>
      <c r="BA20" s="16"/>
      <c r="BB20" s="16"/>
    </row>
    <row r="21" spans="2:74" s="11" customFormat="1" ht="14" thickBot="1" x14ac:dyDescent="0.4">
      <c r="B21" s="445" t="s">
        <v>43</v>
      </c>
      <c r="C21" s="81" t="s">
        <v>16</v>
      </c>
      <c r="D21" s="37" t="s">
        <v>17</v>
      </c>
      <c r="E21" s="54" t="s">
        <v>18</v>
      </c>
      <c r="F21" s="32" t="s">
        <v>70</v>
      </c>
      <c r="G21" s="32" t="s">
        <v>71</v>
      </c>
      <c r="H21" s="40" t="s">
        <v>128</v>
      </c>
      <c r="I21" s="32" t="s">
        <v>129</v>
      </c>
      <c r="J21" s="32" t="s">
        <v>51</v>
      </c>
      <c r="K21" s="128" t="s">
        <v>52</v>
      </c>
      <c r="L21" s="39"/>
      <c r="M21" s="32"/>
      <c r="N21" s="32" t="s">
        <v>112</v>
      </c>
      <c r="O21" s="32" t="s">
        <v>113</v>
      </c>
      <c r="P21" s="206" t="s">
        <v>70</v>
      </c>
      <c r="Q21" s="32" t="s">
        <v>71</v>
      </c>
      <c r="R21" s="32" t="s">
        <v>53</v>
      </c>
      <c r="S21" s="32" t="s">
        <v>54</v>
      </c>
      <c r="T21" s="204" t="s">
        <v>55</v>
      </c>
      <c r="U21" s="205" t="s">
        <v>56</v>
      </c>
      <c r="V21" s="219" t="s">
        <v>57</v>
      </c>
      <c r="W21" s="93" t="s">
        <v>58</v>
      </c>
      <c r="X21" s="91" t="s">
        <v>35</v>
      </c>
      <c r="Y21" s="59" t="s">
        <v>36</v>
      </c>
      <c r="Z21" s="59" t="s">
        <v>59</v>
      </c>
      <c r="AA21" s="60" t="s">
        <v>60</v>
      </c>
      <c r="AB21" s="58" t="s">
        <v>31</v>
      </c>
      <c r="AC21" s="59" t="s">
        <v>32</v>
      </c>
      <c r="AD21" s="59" t="s">
        <v>61</v>
      </c>
      <c r="AE21" s="60" t="s">
        <v>62</v>
      </c>
      <c r="AF21" s="75" t="s">
        <v>63</v>
      </c>
      <c r="AG21" s="70" t="s">
        <v>64</v>
      </c>
      <c r="AH21" s="70" t="s">
        <v>34</v>
      </c>
      <c r="AI21" s="70" t="s">
        <v>114</v>
      </c>
      <c r="AJ21" s="70" t="s">
        <v>115</v>
      </c>
      <c r="AK21" s="70" t="s">
        <v>116</v>
      </c>
      <c r="AL21" s="70" t="s">
        <v>117</v>
      </c>
      <c r="AM21" s="70" t="s">
        <v>37</v>
      </c>
      <c r="AN21" s="70" t="s">
        <v>38</v>
      </c>
      <c r="AO21" s="76" t="s">
        <v>65</v>
      </c>
      <c r="AP21" s="71" t="s">
        <v>66</v>
      </c>
      <c r="AQ21" s="230" t="s">
        <v>148</v>
      </c>
      <c r="AR21" s="231" t="s">
        <v>149</v>
      </c>
      <c r="AS21" s="58" t="s">
        <v>35</v>
      </c>
      <c r="AT21" s="59" t="s">
        <v>36</v>
      </c>
      <c r="AU21" s="72" t="s">
        <v>70</v>
      </c>
      <c r="AV21" s="72" t="s">
        <v>71</v>
      </c>
      <c r="AW21" s="73" t="s">
        <v>67</v>
      </c>
      <c r="AX21" s="74" t="s">
        <v>68</v>
      </c>
      <c r="BH21"/>
      <c r="BO21"/>
      <c r="BV21"/>
    </row>
    <row r="22" spans="2:74" s="11" customFormat="1" ht="12" customHeight="1" x14ac:dyDescent="0.25">
      <c r="B22" s="445"/>
      <c r="C22" s="125" t="s">
        <v>42</v>
      </c>
      <c r="D22" s="129">
        <v>0</v>
      </c>
      <c r="E22" s="130">
        <v>610</v>
      </c>
      <c r="F22" s="38">
        <f t="shared" ref="F22:F51" si="0">$M$3*TAN($M$4/2)</f>
        <v>1.1408382524383274</v>
      </c>
      <c r="G22" s="38">
        <f t="shared" ref="G22:G51" si="1">F22*($M$3/$G$3)</f>
        <v>4.5481923685248934E-2</v>
      </c>
      <c r="H22" s="38">
        <f t="shared" ref="H22:H51" si="2">(($G$3/2-D22)/$G$3)*F22+E22*SIN($M$4)</f>
        <v>24.889356003295575</v>
      </c>
      <c r="I22" s="38">
        <f>IF(INPUT!$C$10=0,0,($G$3/2-D22)*SIN($M$4)-G22*(E22/M$3))</f>
        <v>28.119695529350011</v>
      </c>
      <c r="J22" s="38">
        <f t="shared" ref="J22:J51" si="3">$M$10+(D22-$M$10)*COS($M$4)-(E22-$M$11)*SIN($M$4)</f>
        <v>-24.889356003295532</v>
      </c>
      <c r="K22" s="127">
        <f t="shared" ref="K22:K51" si="4">$M$11+(D22-$M$10)*SIN($M$4)+(E22-$M$11)*COS($M$4)</f>
        <v>638.11969552935</v>
      </c>
      <c r="L22" s="126"/>
      <c r="M22" s="152"/>
      <c r="N22" s="153">
        <f>$M$4+$M$8</f>
        <v>4.6522245067714872E-2</v>
      </c>
      <c r="O22" s="154">
        <f t="shared" ref="O22:O51" si="5">DEGREES(N22)</f>
        <v>2.665528295853373</v>
      </c>
      <c r="P22" s="43">
        <f t="shared" ref="P22:P36" si="6">($G$9*$G$3/1505)*TAN($M$8/2)</f>
        <v>3.1677704198119723E-2</v>
      </c>
      <c r="Q22" s="203">
        <f t="shared" ref="Q22:Q51" si="7">P22*($G$9*$G$3/1505)/$G$3</f>
        <v>2.104830843728885E-4</v>
      </c>
      <c r="R22" s="202">
        <f t="shared" ref="R22:R36" si="8">(($G$3/2-J22)/$G$3)*-P22+K22*SIN($M$8)</f>
        <v>4.2236096909327179</v>
      </c>
      <c r="S22" s="202">
        <f t="shared" ref="S22:S36" si="9">($G$3/2-J22)*SIN($L22)+$Q22*K22/(($G$9*$G$3/1505))</f>
        <v>1.4086527496845276E-2</v>
      </c>
      <c r="T22" s="18">
        <f t="shared" ref="T22:T36" si="10">IF($D$11,$N58,$M$10+(J22-$M$10)*COS($M$8)-(K22-$M$11)*SIN($M$8))</f>
        <v>-29.144643398426403</v>
      </c>
      <c r="U22" s="296">
        <f t="shared" ref="U22:U36" si="11">IF($D$11,$O58,$M$11+(J22-$M$10)*SIN($M$8)+(K22-$M$11)*COS($M$8))</f>
        <v>642.70767308156553</v>
      </c>
      <c r="V22" s="94">
        <f>T22-IF(OR($D$10,$D$7&gt;2000),$G$4,$G$5)</f>
        <v>-54.144643398426403</v>
      </c>
      <c r="W22" s="210">
        <f>U22+$G$6</f>
        <v>742.70767308156553</v>
      </c>
      <c r="X22" s="92">
        <f>-N22</f>
        <v>-4.6522245067714872E-2</v>
      </c>
      <c r="Y22" s="66">
        <f>DEGREES(X22)</f>
        <v>-2.665528295853373</v>
      </c>
      <c r="Z22" s="49">
        <f t="shared" ref="Z22:Z36" si="12">V22-($J$4+$G$8)*COS(X22)</f>
        <v>-129.06349606250876</v>
      </c>
      <c r="AA22" s="55">
        <f t="shared" ref="AA22:AA36" si="13">W22+($J$4+$G$8)*SIN(X22)</f>
        <v>739.21976317769486</v>
      </c>
      <c r="AB22" s="56">
        <f>IF($D$7=0,0,IF($D$10,0,($J$3^2)/(8*$D$7*1000)))</f>
        <v>163.11501562500001</v>
      </c>
      <c r="AC22" s="50">
        <f>IF($D$7=0,0,IF($D$10,0,$J$5^2/(8*($D$7*1000)+4*$J$7)-AB22))</f>
        <v>161.1183770593189</v>
      </c>
      <c r="AD22" s="209">
        <f>Z22-IF($D$13="Right",AC22,AB22)*COS(X22)</f>
        <v>-292.00202703462696</v>
      </c>
      <c r="AE22" s="57">
        <f>AA22+IF($D$13="Right",AC22,AB22)*SIN(X22)</f>
        <v>731.63402346478222</v>
      </c>
      <c r="AF22" s="46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32"/>
      <c r="AR22" s="233"/>
      <c r="AS22" s="77"/>
      <c r="AT22" s="78"/>
      <c r="AU22" s="21"/>
      <c r="AV22" s="21"/>
      <c r="AW22" s="61"/>
      <c r="AX22" s="23"/>
      <c r="BH22"/>
      <c r="BO22"/>
      <c r="BV22"/>
    </row>
    <row r="23" spans="2:74" s="11" customFormat="1" x14ac:dyDescent="0.25">
      <c r="B23" s="445"/>
      <c r="C23" s="123">
        <v>1</v>
      </c>
      <c r="D23" s="5">
        <f>VLOOKUP(INPUT!$C$4,'Vehicle &amp; Track Data'!$A$4:$AD$20,C23+1,FALSE)</f>
        <v>-679</v>
      </c>
      <c r="E23" s="131">
        <f>VLOOKUP(INPUT!$C$4,'Vehicle &amp; Track Data'!$A$23:$AD$39,C23+1,FALSE)</f>
        <v>75</v>
      </c>
      <c r="F23" s="17">
        <f t="shared" si="0"/>
        <v>1.1408382524383274</v>
      </c>
      <c r="G23" s="17">
        <f t="shared" si="1"/>
        <v>4.5481923685248934E-2</v>
      </c>
      <c r="H23" s="17">
        <f t="shared" si="2"/>
        <v>4.1002636194764657</v>
      </c>
      <c r="I23" s="17">
        <f>IF(INPUT!$C$10=0,0,($G$3/2-D23)*SIN($M$4)-G23*(E23/M$3))</f>
        <v>55.614792912015012</v>
      </c>
      <c r="J23" s="38">
        <f t="shared" si="3"/>
        <v>-682.02064107814454</v>
      </c>
      <c r="K23" s="127">
        <f t="shared" si="4"/>
        <v>76.475258028294093</v>
      </c>
      <c r="L23" s="126"/>
      <c r="M23" s="41"/>
      <c r="N23" s="153">
        <f t="shared" ref="N23:N36" si="14">$M$4+$M$8</f>
        <v>4.6522245067714872E-2</v>
      </c>
      <c r="O23" s="65">
        <f t="shared" si="5"/>
        <v>2.665528295853373</v>
      </c>
      <c r="P23" s="41">
        <f t="shared" si="6"/>
        <v>3.1677704198119723E-2</v>
      </c>
      <c r="Q23" s="41">
        <f t="shared" si="7"/>
        <v>2.104830843728885E-4</v>
      </c>
      <c r="R23" s="122">
        <f t="shared" si="8"/>
        <v>0.47724675396563343</v>
      </c>
      <c r="S23" s="18">
        <f t="shared" si="9"/>
        <v>1.6881955416691154E-3</v>
      </c>
      <c r="T23" s="18">
        <f t="shared" si="10"/>
        <v>-682.52956553630827</v>
      </c>
      <c r="U23" s="296">
        <f t="shared" si="11"/>
        <v>76.709313081402627</v>
      </c>
      <c r="V23" s="95">
        <f t="shared" ref="V23:V36" si="15">T23-IF(OR($D$10,$D$7&gt;2000),$G$4,$G$5)</f>
        <v>-707.52956553630827</v>
      </c>
      <c r="W23" s="211">
        <f>U23+$G$6</f>
        <v>176.70931308140263</v>
      </c>
      <c r="X23" s="221">
        <f t="shared" ref="X23:X51" si="16">-N23</f>
        <v>-4.6522245067714872E-2</v>
      </c>
      <c r="Y23" s="67">
        <f t="shared" ref="Y23:Y51" si="17">DEGREES(X23)</f>
        <v>-2.665528295853373</v>
      </c>
      <c r="Z23" s="44">
        <f t="shared" si="12"/>
        <v>-782.44841820039062</v>
      </c>
      <c r="AA23" s="34">
        <f t="shared" si="13"/>
        <v>173.22140317753201</v>
      </c>
      <c r="AB23" s="208">
        <f t="shared" ref="AB23:AB51" si="18">IF($D$7=0,0,IF($D$10,0,($J$3^2)/(8*$D$7*1000)))</f>
        <v>163.11501562500001</v>
      </c>
      <c r="AC23" s="209">
        <f t="shared" ref="AC23:AC51" si="19">IF($D$7=0,0,IF($D$10,0,$J$5^2/(8*($D$7*1000)+4*$J$7)-AB23))</f>
        <v>161.1183770593189</v>
      </c>
      <c r="AD23" s="209">
        <f t="shared" ref="AD23:AD35" si="20">Z23-IF($D$13="Right",AC23,AB23)*COS(X23)</f>
        <v>-945.38694917250882</v>
      </c>
      <c r="AE23" s="57">
        <f t="shared" ref="AE23:AE36" si="21">AA23+IF($D$13="Right",AC23,AB23)*SIN(X23)</f>
        <v>165.63566346461937</v>
      </c>
      <c r="AF23" s="47">
        <f t="shared" ref="AF23:AF36" si="22">AD23-$AD$22</f>
        <v>-653.38492213788186</v>
      </c>
      <c r="AG23" s="19">
        <f t="shared" ref="AG23:AG36" si="23">AE23-$AE$22</f>
        <v>-565.99836000016285</v>
      </c>
      <c r="AH23" s="19">
        <f t="shared" ref="AH23:AH50" si="24">SQRT(AF23^2+AG23^2)</f>
        <v>864.44548700308451</v>
      </c>
      <c r="AI23" s="19">
        <f>ASIN(AG23/AH23)</f>
        <v>-0.71385591536010251</v>
      </c>
      <c r="AJ23" s="19">
        <f>DEGREES(AI23)</f>
        <v>-40.900931130581988</v>
      </c>
      <c r="AK23" s="19">
        <f t="shared" ref="AK23:AK50" si="25">AJ23-$J$8</f>
        <v>-42.900931130581988</v>
      </c>
      <c r="AL23" s="19">
        <f>RADIANS(AK23)</f>
        <v>-0.74876250039998904</v>
      </c>
      <c r="AM23" s="19">
        <f t="shared" ref="AM23:AM50" si="26">IF(AF23&lt;0,-AH23*COS(AL23),AH23*COS(AL23))</f>
        <v>-633.2338397987387</v>
      </c>
      <c r="AN23" s="19">
        <f t="shared" ref="AN23:AN32" si="27">AH23*SIN(AL23)</f>
        <v>-588.45637402762952</v>
      </c>
      <c r="AO23" s="19">
        <f t="shared" ref="AO23:AO36" si="28">$AD$22+(AD23-$AD$22)*COS($J$9)-(AE23-$AE$22)*SIN($J$9)</f>
        <v>-925.23586683336555</v>
      </c>
      <c r="AP23" s="19">
        <f t="shared" ref="AP23:AP36" si="29">$AE$22+((AD23-$AD$22)*SIN($J$9))+((AE23-$AE$22)*COS($J$9))</f>
        <v>143.1776494371527</v>
      </c>
      <c r="AQ23" s="234">
        <f t="shared" ref="AQ23:AQ36" si="30">AM23+$AD$22</f>
        <v>-925.23586683336566</v>
      </c>
      <c r="AR23" s="235">
        <f t="shared" ref="AR23:AR36" si="31">AN23+$AE$22</f>
        <v>143.1776494371527</v>
      </c>
      <c r="AS23" s="79">
        <f>X23-$J$9</f>
        <v>-8.1428830107601463E-2</v>
      </c>
      <c r="AT23" s="64">
        <f>DEGREES(AS23)</f>
        <v>-4.665528295853373</v>
      </c>
      <c r="AU23" s="65">
        <f>$J$12*SIN(AS23)</f>
        <v>-4.0669436099351008</v>
      </c>
      <c r="AV23" s="65">
        <f>$J$12*COS(AS23)</f>
        <v>49.834325215393541</v>
      </c>
      <c r="AW23" s="62">
        <f>AO23+AU23</f>
        <v>-929.3028104433007</v>
      </c>
      <c r="AX23" s="24">
        <f>AP23+AV23</f>
        <v>193.01197465254623</v>
      </c>
      <c r="BA23" s="99"/>
      <c r="BH23"/>
      <c r="BO23"/>
    </row>
    <row r="24" spans="2:74" s="11" customFormat="1" x14ac:dyDescent="0.25">
      <c r="B24" s="445"/>
      <c r="C24" s="123">
        <v>2</v>
      </c>
      <c r="D24" s="5">
        <f>VLOOKUP(INPUT!$C$4,'Vehicle &amp; Track Data'!$A$4:$AD$20,C24+1,FALSE)</f>
        <v>-679</v>
      </c>
      <c r="E24" s="131">
        <f>VLOOKUP(INPUT!$C$4,'Vehicle &amp; Track Data'!$A$23:$AD$39,C24+1,FALSE)</f>
        <v>0</v>
      </c>
      <c r="F24" s="17">
        <f t="shared" si="0"/>
        <v>1.1408382524383274</v>
      </c>
      <c r="G24" s="17">
        <f t="shared" si="1"/>
        <v>4.5481923685248934E-2</v>
      </c>
      <c r="H24" s="17">
        <f t="shared" si="2"/>
        <v>1.1102303968851039</v>
      </c>
      <c r="I24" s="17">
        <f>IF(INPUT!$C$10=0,0,($G$3/2-D24)*SIN($M$4)-G24*(E24/M$3))</f>
        <v>55.674418604651159</v>
      </c>
      <c r="J24" s="38">
        <f t="shared" si="3"/>
        <v>-679.03060785555317</v>
      </c>
      <c r="K24" s="127">
        <f t="shared" si="4"/>
        <v>1.5348837209302324</v>
      </c>
      <c r="L24" s="126"/>
      <c r="M24" s="41"/>
      <c r="N24" s="153">
        <f t="shared" si="14"/>
        <v>4.6522245067714872E-2</v>
      </c>
      <c r="O24" s="65">
        <f t="shared" si="5"/>
        <v>2.665528295853373</v>
      </c>
      <c r="P24" s="41">
        <f t="shared" si="6"/>
        <v>3.1677704198119723E-2</v>
      </c>
      <c r="Q24" s="41">
        <f t="shared" si="7"/>
        <v>2.104830843728885E-4</v>
      </c>
      <c r="R24" s="122">
        <f t="shared" si="8"/>
        <v>-2.0629927313623727E-2</v>
      </c>
      <c r="S24" s="18">
        <f t="shared" si="9"/>
        <v>3.3882642850269855E-5</v>
      </c>
      <c r="T24" s="18">
        <f t="shared" si="10"/>
        <v>-679.04165563243771</v>
      </c>
      <c r="U24" s="296">
        <f t="shared" si="11"/>
        <v>1.7904604173202514</v>
      </c>
      <c r="V24" s="95">
        <f t="shared" si="15"/>
        <v>-704.04165563243771</v>
      </c>
      <c r="W24" s="211">
        <f t="shared" ref="W24:W35" si="32">U24+$G$6</f>
        <v>101.79046041732025</v>
      </c>
      <c r="X24" s="221">
        <f t="shared" si="16"/>
        <v>-4.6522245067714872E-2</v>
      </c>
      <c r="Y24" s="67">
        <f t="shared" si="17"/>
        <v>-2.665528295853373</v>
      </c>
      <c r="Z24" s="44">
        <f t="shared" si="12"/>
        <v>-778.96050829652006</v>
      </c>
      <c r="AA24" s="34">
        <f t="shared" si="13"/>
        <v>98.302550513449631</v>
      </c>
      <c r="AB24" s="208">
        <f t="shared" si="18"/>
        <v>163.11501562500001</v>
      </c>
      <c r="AC24" s="209">
        <f t="shared" si="19"/>
        <v>161.1183770593189</v>
      </c>
      <c r="AD24" s="209">
        <f t="shared" si="20"/>
        <v>-941.89903926863826</v>
      </c>
      <c r="AE24" s="57">
        <f t="shared" si="21"/>
        <v>90.71681080053699</v>
      </c>
      <c r="AF24" s="47">
        <f t="shared" si="22"/>
        <v>-649.8970122340113</v>
      </c>
      <c r="AG24" s="19">
        <f t="shared" si="23"/>
        <v>-640.9172126642452</v>
      </c>
      <c r="AH24" s="19">
        <f t="shared" si="24"/>
        <v>912.76557779092434</v>
      </c>
      <c r="AI24" s="19">
        <f t="shared" ref="AI24:AI50" si="33">ASIN(AG24/AH24)</f>
        <v>-0.77844158162149468</v>
      </c>
      <c r="AJ24" s="19">
        <f t="shared" ref="AJ24:AJ50" si="34">DEGREES(AI24)</f>
        <v>-44.601417224400237</v>
      </c>
      <c r="AK24" s="19">
        <f t="shared" si="25"/>
        <v>-46.601417224400237</v>
      </c>
      <c r="AL24" s="19">
        <f t="shared" ref="AL24:AL50" si="35">RADIANS(AK24)</f>
        <v>-0.81334816666138132</v>
      </c>
      <c r="AM24" s="19">
        <f t="shared" si="26"/>
        <v>-627.13342438383597</v>
      </c>
      <c r="AN24" s="19">
        <f t="shared" si="27"/>
        <v>-663.20786185071984</v>
      </c>
      <c r="AO24" s="19">
        <f t="shared" si="28"/>
        <v>-919.13545141846294</v>
      </c>
      <c r="AP24" s="19">
        <f t="shared" si="29"/>
        <v>68.42616161406238</v>
      </c>
      <c r="AQ24" s="234">
        <f t="shared" si="30"/>
        <v>-919.13545141846294</v>
      </c>
      <c r="AR24" s="235">
        <f t="shared" si="31"/>
        <v>68.42616161406238</v>
      </c>
      <c r="AS24" s="79">
        <f t="shared" ref="AS24:AS36" si="36">X24-$J$9</f>
        <v>-8.1428830107601463E-2</v>
      </c>
      <c r="AT24" s="64">
        <f t="shared" ref="AT24:AT36" si="37">DEGREES(AS24)</f>
        <v>-4.665528295853373</v>
      </c>
      <c r="AU24" s="65">
        <f t="shared" ref="AU24:AU36" si="38">$J$12*SIN(AS24)</f>
        <v>-4.0669436099351008</v>
      </c>
      <c r="AV24" s="65">
        <f t="shared" ref="AV24:AV36" si="39">$J$12*COS(AS24)</f>
        <v>49.834325215393541</v>
      </c>
      <c r="AW24" s="62">
        <f t="shared" ref="AW24:AW50" si="40">AO24+AU24</f>
        <v>-923.20239502839809</v>
      </c>
      <c r="AX24" s="24">
        <f t="shared" ref="AX24:AX50" si="41">AP24+AV24</f>
        <v>118.26048682945591</v>
      </c>
      <c r="BA24" s="99"/>
      <c r="BH24"/>
      <c r="BO24"/>
    </row>
    <row r="25" spans="2:74" s="11" customFormat="1" x14ac:dyDescent="0.25">
      <c r="B25" s="445"/>
      <c r="C25" s="123">
        <v>3</v>
      </c>
      <c r="D25" s="5">
        <f>VLOOKUP(INPUT!$C$4,'Vehicle &amp; Track Data'!$A$4:$AD$20,C25+1,FALSE)</f>
        <v>-940</v>
      </c>
      <c r="E25" s="131">
        <f>VLOOKUP(INPUT!$C$4,'Vehicle &amp; Track Data'!$A$23:$AD$39,C25+1,FALSE)</f>
        <v>0</v>
      </c>
      <c r="F25" s="17">
        <f t="shared" si="0"/>
        <v>1.1408382524383274</v>
      </c>
      <c r="G25" s="17">
        <f t="shared" si="1"/>
        <v>4.5481923685248934E-2</v>
      </c>
      <c r="H25" s="17">
        <f t="shared" si="2"/>
        <v>1.3177278072589043</v>
      </c>
      <c r="I25" s="17">
        <f>IF(INPUT!$C$10=0,0,($G$3/2-D25)*SIN($M$4)-G25*(E25/M$3))</f>
        <v>66.079734219269099</v>
      </c>
      <c r="J25" s="38">
        <f t="shared" si="3"/>
        <v>-939.8231104451794</v>
      </c>
      <c r="K25" s="127">
        <f t="shared" si="4"/>
        <v>-8.8704318936877069</v>
      </c>
      <c r="L25" s="126"/>
      <c r="M25" s="41"/>
      <c r="N25" s="153">
        <f t="shared" si="14"/>
        <v>4.6522245067714872E-2</v>
      </c>
      <c r="O25" s="65">
        <f t="shared" si="5"/>
        <v>2.665528295853373</v>
      </c>
      <c r="P25" s="41">
        <f t="shared" si="6"/>
        <v>3.1677704198119723E-2</v>
      </c>
      <c r="Q25" s="41">
        <f t="shared" si="7"/>
        <v>2.104830843728885E-4</v>
      </c>
      <c r="R25" s="122">
        <f t="shared" si="8"/>
        <v>-9.5525245933193961E-2</v>
      </c>
      <c r="S25" s="18">
        <f t="shared" si="9"/>
        <v>-1.9581527361519591E-4</v>
      </c>
      <c r="T25" s="18">
        <f t="shared" si="10"/>
        <v>-939.75926290344432</v>
      </c>
      <c r="U25" s="296">
        <f t="shared" si="11"/>
        <v>-10.347466048149503</v>
      </c>
      <c r="V25" s="95">
        <f t="shared" si="15"/>
        <v>-964.75926290344432</v>
      </c>
      <c r="W25" s="211">
        <f t="shared" si="32"/>
        <v>89.652533951850501</v>
      </c>
      <c r="X25" s="221">
        <f t="shared" si="16"/>
        <v>-4.6522245067714872E-2</v>
      </c>
      <c r="Y25" s="67">
        <f t="shared" si="17"/>
        <v>-2.665528295853373</v>
      </c>
      <c r="Z25" s="44">
        <f t="shared" si="12"/>
        <v>-1039.6781155675267</v>
      </c>
      <c r="AA25" s="34">
        <f t="shared" si="13"/>
        <v>86.164624047979885</v>
      </c>
      <c r="AB25" s="208">
        <f t="shared" si="18"/>
        <v>163.11501562500001</v>
      </c>
      <c r="AC25" s="209">
        <f t="shared" si="19"/>
        <v>161.1183770593189</v>
      </c>
      <c r="AD25" s="209">
        <f t="shared" si="20"/>
        <v>-1202.616646539645</v>
      </c>
      <c r="AE25" s="57">
        <f t="shared" si="21"/>
        <v>78.578884335067244</v>
      </c>
      <c r="AF25" s="47">
        <f t="shared" si="22"/>
        <v>-910.61461950501803</v>
      </c>
      <c r="AG25" s="19">
        <f t="shared" si="23"/>
        <v>-653.05513912971492</v>
      </c>
      <c r="AH25" s="19">
        <f t="shared" si="24"/>
        <v>1120.580206857144</v>
      </c>
      <c r="AI25" s="19">
        <f t="shared" si="33"/>
        <v>-0.62214924282808104</v>
      </c>
      <c r="AJ25" s="19">
        <f t="shared" si="34"/>
        <v>-35.646525841308843</v>
      </c>
      <c r="AK25" s="19">
        <f t="shared" si="25"/>
        <v>-37.646525841308843</v>
      </c>
      <c r="AL25" s="19">
        <f t="shared" si="35"/>
        <v>-0.65705582786796757</v>
      </c>
      <c r="AM25" s="19">
        <f t="shared" si="26"/>
        <v>-887.26860200819021</v>
      </c>
      <c r="AN25" s="19">
        <f t="shared" si="27"/>
        <v>-684.43730749458086</v>
      </c>
      <c r="AO25" s="19">
        <f t="shared" si="28"/>
        <v>-1179.2706290428173</v>
      </c>
      <c r="AP25" s="19">
        <f t="shared" si="29"/>
        <v>47.19671597020124</v>
      </c>
      <c r="AQ25" s="234">
        <f t="shared" si="30"/>
        <v>-1179.2706290428173</v>
      </c>
      <c r="AR25" s="235">
        <f t="shared" si="31"/>
        <v>47.196715970201353</v>
      </c>
      <c r="AS25" s="79">
        <f t="shared" si="36"/>
        <v>-8.1428830107601463E-2</v>
      </c>
      <c r="AT25" s="64">
        <f t="shared" si="37"/>
        <v>-4.665528295853373</v>
      </c>
      <c r="AU25" s="65">
        <f t="shared" si="38"/>
        <v>-4.0669436099351008</v>
      </c>
      <c r="AV25" s="65">
        <f t="shared" si="39"/>
        <v>49.834325215393541</v>
      </c>
      <c r="AW25" s="62">
        <f t="shared" si="40"/>
        <v>-1183.3375726527524</v>
      </c>
      <c r="AX25" s="24">
        <f t="shared" si="41"/>
        <v>97.031041185594773</v>
      </c>
      <c r="BA25" s="99"/>
      <c r="BH25"/>
      <c r="BO25"/>
    </row>
    <row r="26" spans="2:74" s="11" customFormat="1" x14ac:dyDescent="0.25">
      <c r="B26" s="445"/>
      <c r="C26" s="123">
        <v>4</v>
      </c>
      <c r="D26" s="5">
        <f>VLOOKUP(INPUT!$C$4,'Vehicle &amp; Track Data'!$A$4:$AD$20,C26+1,FALSE)</f>
        <v>-940</v>
      </c>
      <c r="E26" s="131">
        <f>VLOOKUP(INPUT!$C$4,'Vehicle &amp; Track Data'!$A$23:$AD$39,C26+1,FALSE)</f>
        <v>152</v>
      </c>
      <c r="F26" s="17">
        <f t="shared" si="0"/>
        <v>1.1408382524383274</v>
      </c>
      <c r="G26" s="17">
        <f t="shared" si="1"/>
        <v>4.5481923685248934E-2</v>
      </c>
      <c r="H26" s="17">
        <f t="shared" si="2"/>
        <v>7.3775284717107308</v>
      </c>
      <c r="I26" s="17">
        <f>IF(INPUT!$C$10=0,0,($G$3/2-D26)*SIN($M$4)-G26*(E26/M$3))</f>
        <v>65.958892815526497</v>
      </c>
      <c r="J26" s="38">
        <f t="shared" si="3"/>
        <v>-945.88291110963121</v>
      </c>
      <c r="K26" s="127">
        <f t="shared" si="4"/>
        <v>143.0087267025697</v>
      </c>
      <c r="L26" s="126"/>
      <c r="M26" s="41"/>
      <c r="N26" s="153">
        <f t="shared" si="14"/>
        <v>4.6522245067714872E-2</v>
      </c>
      <c r="O26" s="65">
        <f t="shared" si="5"/>
        <v>2.665528295853373</v>
      </c>
      <c r="P26" s="41">
        <f t="shared" si="6"/>
        <v>3.1677704198119723E-2</v>
      </c>
      <c r="Q26" s="41">
        <f t="shared" si="7"/>
        <v>2.104830843728885E-4</v>
      </c>
      <c r="R26" s="122">
        <f t="shared" si="8"/>
        <v>0.91350482812610045</v>
      </c>
      <c r="S26" s="18">
        <f t="shared" si="9"/>
        <v>3.1569255346576646E-3</v>
      </c>
      <c r="T26" s="18">
        <f t="shared" si="10"/>
        <v>-946.82809364195543</v>
      </c>
      <c r="U26" s="296">
        <f t="shared" si="11"/>
        <v>141.48807535105743</v>
      </c>
      <c r="V26" s="95">
        <f t="shared" si="15"/>
        <v>-971.82809364195543</v>
      </c>
      <c r="W26" s="211">
        <f t="shared" si="32"/>
        <v>241.48807535105743</v>
      </c>
      <c r="X26" s="221">
        <f t="shared" si="16"/>
        <v>-4.6522245067714872E-2</v>
      </c>
      <c r="Y26" s="67">
        <f t="shared" si="17"/>
        <v>-2.665528295853373</v>
      </c>
      <c r="Z26" s="44">
        <f t="shared" si="12"/>
        <v>-1046.7469463060379</v>
      </c>
      <c r="AA26" s="34">
        <f t="shared" si="13"/>
        <v>238.00016544718682</v>
      </c>
      <c r="AB26" s="208">
        <f t="shared" si="18"/>
        <v>163.11501562500001</v>
      </c>
      <c r="AC26" s="209">
        <f t="shared" si="19"/>
        <v>161.1183770593189</v>
      </c>
      <c r="AD26" s="209">
        <f t="shared" si="20"/>
        <v>-1209.6854772781562</v>
      </c>
      <c r="AE26" s="57">
        <f t="shared" si="21"/>
        <v>230.41442573427418</v>
      </c>
      <c r="AF26" s="47">
        <f t="shared" si="22"/>
        <v>-917.68345024352925</v>
      </c>
      <c r="AG26" s="19">
        <f t="shared" si="23"/>
        <v>-501.21959773050804</v>
      </c>
      <c r="AH26" s="19">
        <f t="shared" si="24"/>
        <v>1045.6404735854483</v>
      </c>
      <c r="AI26" s="19">
        <f t="shared" si="33"/>
        <v>-0.49990503068901415</v>
      </c>
      <c r="AJ26" s="19">
        <f t="shared" si="34"/>
        <v>-28.642448415838405</v>
      </c>
      <c r="AK26" s="19">
        <f t="shared" si="25"/>
        <v>-30.642448415838405</v>
      </c>
      <c r="AL26" s="19">
        <f t="shared" si="35"/>
        <v>-0.53481161572890068</v>
      </c>
      <c r="AM26" s="19">
        <f t="shared" si="26"/>
        <v>-899.63211058239324</v>
      </c>
      <c r="AN26" s="19">
        <f t="shared" si="27"/>
        <v>-532.94095883978457</v>
      </c>
      <c r="AO26" s="19">
        <f t="shared" si="28"/>
        <v>-1191.6341376170201</v>
      </c>
      <c r="AP26" s="19">
        <f t="shared" si="29"/>
        <v>198.69306462499748</v>
      </c>
      <c r="AQ26" s="234">
        <f t="shared" si="30"/>
        <v>-1191.6341376170203</v>
      </c>
      <c r="AR26" s="235">
        <f t="shared" si="31"/>
        <v>198.69306462499765</v>
      </c>
      <c r="AS26" s="79">
        <f t="shared" si="36"/>
        <v>-8.1428830107601463E-2</v>
      </c>
      <c r="AT26" s="64">
        <f t="shared" si="37"/>
        <v>-4.665528295853373</v>
      </c>
      <c r="AU26" s="65">
        <f t="shared" si="38"/>
        <v>-4.0669436099351008</v>
      </c>
      <c r="AV26" s="65">
        <f t="shared" si="39"/>
        <v>49.834325215393541</v>
      </c>
      <c r="AW26" s="62">
        <f t="shared" si="40"/>
        <v>-1195.7010812269552</v>
      </c>
      <c r="AX26" s="24">
        <f t="shared" si="41"/>
        <v>248.52738984039101</v>
      </c>
      <c r="BA26" s="99"/>
      <c r="BH26"/>
      <c r="BO26"/>
    </row>
    <row r="27" spans="2:74" s="11" customFormat="1" x14ac:dyDescent="0.25">
      <c r="B27" s="445"/>
      <c r="C27" s="123">
        <v>5</v>
      </c>
      <c r="D27" s="5">
        <f>VLOOKUP(INPUT!$C$4,'Vehicle &amp; Track Data'!$A$4:$AD$20,C27+1,FALSE)</f>
        <v>-1220</v>
      </c>
      <c r="E27" s="131">
        <f>VLOOKUP(INPUT!$C$4,'Vehicle &amp; Track Data'!$A$23:$AD$39,C27+1,FALSE)</f>
        <v>152</v>
      </c>
      <c r="F27" s="17">
        <f t="shared" si="0"/>
        <v>1.1408382524383274</v>
      </c>
      <c r="G27" s="17">
        <f t="shared" si="1"/>
        <v>4.5481923685248934E-2</v>
      </c>
      <c r="H27" s="17">
        <f t="shared" si="2"/>
        <v>7.600131057552356</v>
      </c>
      <c r="I27" s="17">
        <f>IF(INPUT!$C$10=0,0,($G$3/2-D27)*SIN($M$4)-G27*(E27/M$3))</f>
        <v>77.121683513200921</v>
      </c>
      <c r="J27" s="38">
        <f t="shared" si="3"/>
        <v>-1225.6603085237896</v>
      </c>
      <c r="K27" s="127">
        <f t="shared" si="4"/>
        <v>131.84593600489529</v>
      </c>
      <c r="L27" s="126"/>
      <c r="M27" s="41"/>
      <c r="N27" s="153">
        <f t="shared" si="14"/>
        <v>4.6522245067714872E-2</v>
      </c>
      <c r="O27" s="65">
        <f t="shared" si="5"/>
        <v>2.665528295853373</v>
      </c>
      <c r="P27" s="41">
        <f t="shared" si="6"/>
        <v>3.1677704198119723E-2</v>
      </c>
      <c r="Q27" s="41">
        <f t="shared" si="7"/>
        <v>2.104830843728885E-4</v>
      </c>
      <c r="R27" s="122">
        <f t="shared" si="8"/>
        <v>0.83315735987522055</v>
      </c>
      <c r="S27" s="18">
        <f t="shared" si="9"/>
        <v>2.910506313928429E-3</v>
      </c>
      <c r="T27" s="18">
        <f t="shared" si="10"/>
        <v>-1226.5251435878629</v>
      </c>
      <c r="U27" s="296">
        <f t="shared" si="11"/>
        <v>128.46654504327381</v>
      </c>
      <c r="V27" s="95">
        <f t="shared" si="15"/>
        <v>-1251.5251435878629</v>
      </c>
      <c r="W27" s="211">
        <f t="shared" si="32"/>
        <v>228.46654504327381</v>
      </c>
      <c r="X27" s="221">
        <f t="shared" si="16"/>
        <v>-4.6522245067714872E-2</v>
      </c>
      <c r="Y27" s="67">
        <f t="shared" si="17"/>
        <v>-2.665528295853373</v>
      </c>
      <c r="Z27" s="44">
        <f t="shared" si="12"/>
        <v>-1326.4439962519452</v>
      </c>
      <c r="AA27" s="34">
        <f t="shared" si="13"/>
        <v>224.9786351394032</v>
      </c>
      <c r="AB27" s="208">
        <f t="shared" si="18"/>
        <v>163.11501562500001</v>
      </c>
      <c r="AC27" s="209">
        <f t="shared" si="19"/>
        <v>161.1183770593189</v>
      </c>
      <c r="AD27" s="209">
        <f t="shared" si="20"/>
        <v>-1489.3825272240636</v>
      </c>
      <c r="AE27" s="57">
        <f t="shared" si="21"/>
        <v>217.39289542649055</v>
      </c>
      <c r="AF27" s="47">
        <f t="shared" si="22"/>
        <v>-1197.3805001894366</v>
      </c>
      <c r="AG27" s="19">
        <f t="shared" si="23"/>
        <v>-514.24112803829166</v>
      </c>
      <c r="AH27" s="19">
        <f t="shared" si="24"/>
        <v>1303.1362169781023</v>
      </c>
      <c r="AI27" s="19">
        <f t="shared" si="33"/>
        <v>-0.40565217524738628</v>
      </c>
      <c r="AJ27" s="19">
        <f t="shared" si="34"/>
        <v>-23.242157591976476</v>
      </c>
      <c r="AK27" s="19">
        <f t="shared" si="25"/>
        <v>-25.242157591976476</v>
      </c>
      <c r="AL27" s="19">
        <f t="shared" si="35"/>
        <v>-0.44055876028727287</v>
      </c>
      <c r="AM27" s="19">
        <f t="shared" si="26"/>
        <v>-1178.7043317885966</v>
      </c>
      <c r="AN27" s="19">
        <f t="shared" si="27"/>
        <v>-555.71584305542126</v>
      </c>
      <c r="AO27" s="19">
        <f t="shared" si="28"/>
        <v>-1470.7063588232238</v>
      </c>
      <c r="AP27" s="19">
        <f t="shared" si="29"/>
        <v>175.91818040936107</v>
      </c>
      <c r="AQ27" s="234">
        <f t="shared" si="30"/>
        <v>-1470.7063588232236</v>
      </c>
      <c r="AR27" s="235">
        <f t="shared" si="31"/>
        <v>175.91818040936096</v>
      </c>
      <c r="AS27" s="79">
        <f t="shared" si="36"/>
        <v>-8.1428830107601463E-2</v>
      </c>
      <c r="AT27" s="64">
        <f t="shared" si="37"/>
        <v>-4.665528295853373</v>
      </c>
      <c r="AU27" s="65">
        <f t="shared" si="38"/>
        <v>-4.0669436099351008</v>
      </c>
      <c r="AV27" s="65">
        <f t="shared" si="39"/>
        <v>49.834325215393541</v>
      </c>
      <c r="AW27" s="62">
        <f t="shared" si="40"/>
        <v>-1474.773302433159</v>
      </c>
      <c r="AX27" s="24">
        <f t="shared" si="41"/>
        <v>225.7525056247546</v>
      </c>
      <c r="BA27" s="99"/>
      <c r="BH27"/>
      <c r="BO27"/>
    </row>
    <row r="28" spans="2:74" s="11" customFormat="1" x14ac:dyDescent="0.25">
      <c r="B28" s="445"/>
      <c r="C28" s="123">
        <v>6</v>
      </c>
      <c r="D28" s="5">
        <f>VLOOKUP(INPUT!$C$4,'Vehicle &amp; Track Data'!$A$4:$AD$20,C28+1,FALSE)</f>
        <v>-1450</v>
      </c>
      <c r="E28" s="131">
        <f>VLOOKUP(INPUT!$C$4,'Vehicle &amp; Track Data'!$A$23:$AD$39,C28+1,FALSE)</f>
        <v>345</v>
      </c>
      <c r="F28" s="17">
        <f t="shared" si="0"/>
        <v>1.1408382524383274</v>
      </c>
      <c r="G28" s="17">
        <f t="shared" si="1"/>
        <v>4.5481923685248934E-2</v>
      </c>
      <c r="H28" s="17">
        <f t="shared" si="2"/>
        <v>15.477335341104986</v>
      </c>
      <c r="I28" s="17">
        <f>IF(INPUT!$C$10=0,0,($G$3/2-D28)*SIN($M$4)-G28*(E28/M$3))</f>
        <v>86.137681946764076</v>
      </c>
      <c r="J28" s="38">
        <f t="shared" si="3"/>
        <v>-1463.171808559174</v>
      </c>
      <c r="K28" s="127">
        <f t="shared" si="4"/>
        <v>315.52306400656477</v>
      </c>
      <c r="L28" s="126"/>
      <c r="M28" s="41"/>
      <c r="N28" s="153">
        <f t="shared" si="14"/>
        <v>4.6522245067714872E-2</v>
      </c>
      <c r="O28" s="65">
        <f t="shared" si="5"/>
        <v>2.665528295853373</v>
      </c>
      <c r="P28" s="41">
        <f t="shared" si="6"/>
        <v>3.1677704198119723E-2</v>
      </c>
      <c r="Q28" s="41">
        <f t="shared" si="7"/>
        <v>2.104830843728885E-4</v>
      </c>
      <c r="R28" s="122">
        <f t="shared" si="8"/>
        <v>2.0483603136372861</v>
      </c>
      <c r="S28" s="18">
        <f t="shared" si="9"/>
        <v>6.9651890517661002E-3</v>
      </c>
      <c r="T28" s="18">
        <f t="shared" si="10"/>
        <v>-1465.2518465770095</v>
      </c>
      <c r="U28" s="296">
        <f t="shared" si="11"/>
        <v>310.56146886030922</v>
      </c>
      <c r="V28" s="95">
        <f t="shared" si="15"/>
        <v>-1490.2518465770095</v>
      </c>
      <c r="W28" s="211">
        <f t="shared" si="32"/>
        <v>410.56146886030922</v>
      </c>
      <c r="X28" s="221">
        <f t="shared" si="16"/>
        <v>-4.6522245067714872E-2</v>
      </c>
      <c r="Y28" s="67">
        <f t="shared" si="17"/>
        <v>-2.665528295853373</v>
      </c>
      <c r="Z28" s="44">
        <f t="shared" si="12"/>
        <v>-1565.1706992410918</v>
      </c>
      <c r="AA28" s="34">
        <f t="shared" si="13"/>
        <v>407.0735589564386</v>
      </c>
      <c r="AB28" s="208">
        <f t="shared" si="18"/>
        <v>163.11501562500001</v>
      </c>
      <c r="AC28" s="209">
        <f t="shared" si="19"/>
        <v>161.1183770593189</v>
      </c>
      <c r="AD28" s="209">
        <f t="shared" si="20"/>
        <v>-1728.1092302132101</v>
      </c>
      <c r="AE28" s="57">
        <f t="shared" si="21"/>
        <v>399.48781924352596</v>
      </c>
      <c r="AF28" s="47">
        <f t="shared" si="22"/>
        <v>-1436.1072031785832</v>
      </c>
      <c r="AG28" s="19">
        <f t="shared" si="23"/>
        <v>-332.14620422125626</v>
      </c>
      <c r="AH28" s="19">
        <f t="shared" si="24"/>
        <v>1474.0166213445495</v>
      </c>
      <c r="AI28" s="19">
        <f t="shared" si="33"/>
        <v>-0.22728593878359926</v>
      </c>
      <c r="AJ28" s="19">
        <f t="shared" si="34"/>
        <v>-13.02252503496903</v>
      </c>
      <c r="AK28" s="19">
        <f t="shared" si="25"/>
        <v>-15.02252503496903</v>
      </c>
      <c r="AL28" s="19">
        <f t="shared" si="35"/>
        <v>-0.26219252382348585</v>
      </c>
      <c r="AM28" s="19">
        <f t="shared" si="26"/>
        <v>-1423.640630113757</v>
      </c>
      <c r="AN28" s="19">
        <f t="shared" si="27"/>
        <v>-382.06328832970354</v>
      </c>
      <c r="AO28" s="19">
        <f t="shared" si="28"/>
        <v>-1715.6426571483837</v>
      </c>
      <c r="AP28" s="19">
        <f t="shared" si="29"/>
        <v>349.57073513507856</v>
      </c>
      <c r="AQ28" s="234">
        <f t="shared" si="30"/>
        <v>-1715.6426571483839</v>
      </c>
      <c r="AR28" s="235">
        <f t="shared" si="31"/>
        <v>349.57073513507868</v>
      </c>
      <c r="AS28" s="79">
        <f t="shared" si="36"/>
        <v>-8.1428830107601463E-2</v>
      </c>
      <c r="AT28" s="64">
        <f t="shared" si="37"/>
        <v>-4.665528295853373</v>
      </c>
      <c r="AU28" s="65">
        <f t="shared" si="38"/>
        <v>-4.0669436099351008</v>
      </c>
      <c r="AV28" s="65">
        <f t="shared" si="39"/>
        <v>49.834325215393541</v>
      </c>
      <c r="AW28" s="62">
        <f t="shared" si="40"/>
        <v>-1719.7096007583189</v>
      </c>
      <c r="AX28" s="24">
        <f t="shared" si="41"/>
        <v>399.40506035047213</v>
      </c>
      <c r="BA28" s="99"/>
      <c r="BH28"/>
      <c r="BO28"/>
    </row>
    <row r="29" spans="2:74" s="11" customFormat="1" x14ac:dyDescent="0.25">
      <c r="B29" s="445"/>
      <c r="C29" s="123">
        <v>7</v>
      </c>
      <c r="D29" s="5">
        <f>VLOOKUP(INPUT!$C$4,'Vehicle &amp; Track Data'!$A$4:$AD$20,C29+1,FALSE)</f>
        <v>-1450</v>
      </c>
      <c r="E29" s="131">
        <f>VLOOKUP(INPUT!$C$4,'Vehicle &amp; Track Data'!$A$23:$AD$39,C29+1,FALSE)</f>
        <v>1120</v>
      </c>
      <c r="F29" s="17">
        <f t="shared" si="0"/>
        <v>1.1408382524383274</v>
      </c>
      <c r="G29" s="17">
        <f t="shared" si="1"/>
        <v>4.5481923685248934E-2</v>
      </c>
      <c r="H29" s="17">
        <f t="shared" si="2"/>
        <v>46.374345307882386</v>
      </c>
      <c r="I29" s="17">
        <f>IF(INPUT!$C$10=0,0,($G$3/2-D29)*SIN($M$4)-G29*(E29/M$3))</f>
        <v>85.52154978952386</v>
      </c>
      <c r="J29" s="38">
        <f t="shared" si="3"/>
        <v>-1494.0688185259514</v>
      </c>
      <c r="K29" s="127">
        <f t="shared" si="4"/>
        <v>1089.9069318493246</v>
      </c>
      <c r="L29" s="126"/>
      <c r="M29" s="41"/>
      <c r="N29" s="153">
        <f t="shared" si="14"/>
        <v>4.6522245067714872E-2</v>
      </c>
      <c r="O29" s="65">
        <f t="shared" si="5"/>
        <v>2.665528295853373</v>
      </c>
      <c r="P29" s="41">
        <f t="shared" si="6"/>
        <v>3.1677704198119723E-2</v>
      </c>
      <c r="Q29" s="41">
        <f t="shared" si="7"/>
        <v>2.104830843728885E-4</v>
      </c>
      <c r="R29" s="122">
        <f t="shared" si="8"/>
        <v>7.1930860201896092</v>
      </c>
      <c r="S29" s="18">
        <f t="shared" si="9"/>
        <v>2.4059755672894173E-2</v>
      </c>
      <c r="T29" s="18">
        <f t="shared" si="10"/>
        <v>-1501.2935822503391</v>
      </c>
      <c r="U29" s="296">
        <f t="shared" si="11"/>
        <v>1084.7229463891604</v>
      </c>
      <c r="V29" s="95">
        <f t="shared" si="15"/>
        <v>-1526.2935822503391</v>
      </c>
      <c r="W29" s="211">
        <f t="shared" si="32"/>
        <v>1184.7229463891604</v>
      </c>
      <c r="X29" s="221">
        <f t="shared" si="16"/>
        <v>-4.6522245067714872E-2</v>
      </c>
      <c r="Y29" s="67">
        <f t="shared" si="17"/>
        <v>-2.665528295853373</v>
      </c>
      <c r="Z29" s="44">
        <f t="shared" si="12"/>
        <v>-1601.2124349144215</v>
      </c>
      <c r="AA29" s="34">
        <f t="shared" si="13"/>
        <v>1181.2350364852898</v>
      </c>
      <c r="AB29" s="208">
        <f t="shared" si="18"/>
        <v>163.11501562500001</v>
      </c>
      <c r="AC29" s="209">
        <f t="shared" si="19"/>
        <v>161.1183770593189</v>
      </c>
      <c r="AD29" s="209">
        <f t="shared" si="20"/>
        <v>-1764.1509658865398</v>
      </c>
      <c r="AE29" s="57">
        <f t="shared" si="21"/>
        <v>1173.6492967723771</v>
      </c>
      <c r="AF29" s="47">
        <f t="shared" si="22"/>
        <v>-1472.1489388519128</v>
      </c>
      <c r="AG29" s="19">
        <f t="shared" si="23"/>
        <v>442.01527330759484</v>
      </c>
      <c r="AH29" s="19">
        <f t="shared" si="24"/>
        <v>1537.0751445521462</v>
      </c>
      <c r="AI29" s="19">
        <f t="shared" si="33"/>
        <v>0.29168772816370703</v>
      </c>
      <c r="AJ29" s="19">
        <f t="shared" si="34"/>
        <v>16.71247575953965</v>
      </c>
      <c r="AK29" s="19">
        <f t="shared" si="25"/>
        <v>14.71247575953965</v>
      </c>
      <c r="AL29" s="19">
        <f t="shared" si="35"/>
        <v>0.25678114312382044</v>
      </c>
      <c r="AM29" s="19">
        <f t="shared" si="26"/>
        <v>-1486.6782560677509</v>
      </c>
      <c r="AN29" s="19">
        <f t="shared" si="27"/>
        <v>390.36875250889636</v>
      </c>
      <c r="AO29" s="19">
        <f t="shared" si="28"/>
        <v>-1778.6802831023779</v>
      </c>
      <c r="AP29" s="19">
        <f t="shared" si="29"/>
        <v>1122.0027759736786</v>
      </c>
      <c r="AQ29" s="234">
        <f t="shared" si="30"/>
        <v>-1778.6802831023779</v>
      </c>
      <c r="AR29" s="235">
        <f t="shared" si="31"/>
        <v>1122.0027759736786</v>
      </c>
      <c r="AS29" s="79">
        <f t="shared" si="36"/>
        <v>-8.1428830107601463E-2</v>
      </c>
      <c r="AT29" s="64">
        <f t="shared" si="37"/>
        <v>-4.665528295853373</v>
      </c>
      <c r="AU29" s="65">
        <f t="shared" si="38"/>
        <v>-4.0669436099351008</v>
      </c>
      <c r="AV29" s="65">
        <f t="shared" si="39"/>
        <v>49.834325215393541</v>
      </c>
      <c r="AW29" s="62">
        <f t="shared" si="40"/>
        <v>-1782.747226712313</v>
      </c>
      <c r="AX29" s="24">
        <f t="shared" si="41"/>
        <v>1171.8371011890722</v>
      </c>
      <c r="BA29" s="99"/>
      <c r="BH29"/>
      <c r="BO29"/>
    </row>
    <row r="30" spans="2:74" s="11" customFormat="1" x14ac:dyDescent="0.25">
      <c r="B30" s="445"/>
      <c r="C30" s="123">
        <v>8</v>
      </c>
      <c r="D30" s="5">
        <f>VLOOKUP(INPUT!$C$4,'Vehicle &amp; Track Data'!$A$4:$AD$20,C30+1,FALSE)</f>
        <v>-1485</v>
      </c>
      <c r="E30" s="131">
        <f>VLOOKUP(INPUT!$C$4,'Vehicle &amp; Track Data'!$A$23:$AD$39,C30+1,FALSE)</f>
        <v>1120</v>
      </c>
      <c r="F30" s="17">
        <f t="shared" si="0"/>
        <v>1.1408382524383274</v>
      </c>
      <c r="G30" s="17">
        <f t="shared" si="1"/>
        <v>4.5481923685248934E-2</v>
      </c>
      <c r="H30" s="17">
        <f t="shared" si="2"/>
        <v>46.40217063111259</v>
      </c>
      <c r="I30" s="17">
        <f>IF(INPUT!$C$10=0,0,($G$3/2-D30)*SIN($M$4)-G30*(E30/M$3))</f>
        <v>86.916898626733172</v>
      </c>
      <c r="J30" s="38">
        <f t="shared" si="3"/>
        <v>-1529.0409932027212</v>
      </c>
      <c r="K30" s="127">
        <f t="shared" si="4"/>
        <v>1088.5115830121151</v>
      </c>
      <c r="L30" s="126"/>
      <c r="M30" s="41"/>
      <c r="N30" s="153">
        <f t="shared" si="14"/>
        <v>4.6522245067714872E-2</v>
      </c>
      <c r="O30" s="65">
        <f t="shared" si="5"/>
        <v>2.665528295853373</v>
      </c>
      <c r="P30" s="41">
        <f t="shared" si="6"/>
        <v>3.1677704198119723E-2</v>
      </c>
      <c r="Q30" s="41">
        <f t="shared" si="7"/>
        <v>2.104830843728885E-4</v>
      </c>
      <c r="R30" s="122">
        <f t="shared" si="8"/>
        <v>7.1830425866582486</v>
      </c>
      <c r="S30" s="18">
        <f t="shared" si="9"/>
        <v>2.4028953270303015E-2</v>
      </c>
      <c r="T30" s="18">
        <f t="shared" si="10"/>
        <v>-1536.2557134935778</v>
      </c>
      <c r="U30" s="296">
        <f t="shared" si="11"/>
        <v>1083.0952551006872</v>
      </c>
      <c r="V30" s="95">
        <f t="shared" si="15"/>
        <v>-1561.2557134935778</v>
      </c>
      <c r="W30" s="211">
        <f t="shared" si="32"/>
        <v>1183.0952551006872</v>
      </c>
      <c r="X30" s="221">
        <f t="shared" si="16"/>
        <v>-4.6522245067714872E-2</v>
      </c>
      <c r="Y30" s="67">
        <f t="shared" si="17"/>
        <v>-2.665528295853373</v>
      </c>
      <c r="Z30" s="44">
        <f t="shared" si="12"/>
        <v>-1636.1745661576601</v>
      </c>
      <c r="AA30" s="34">
        <f t="shared" si="13"/>
        <v>1179.6073451968166</v>
      </c>
      <c r="AB30" s="208">
        <f t="shared" si="18"/>
        <v>163.11501562500001</v>
      </c>
      <c r="AC30" s="209">
        <f t="shared" si="19"/>
        <v>161.1183770593189</v>
      </c>
      <c r="AD30" s="209">
        <f t="shared" si="20"/>
        <v>-1799.1130971297785</v>
      </c>
      <c r="AE30" s="57">
        <f t="shared" si="21"/>
        <v>1172.0216054839038</v>
      </c>
      <c r="AF30" s="47">
        <f t="shared" si="22"/>
        <v>-1507.1110700951515</v>
      </c>
      <c r="AG30" s="19">
        <f t="shared" si="23"/>
        <v>440.38758201912162</v>
      </c>
      <c r="AH30" s="19">
        <f t="shared" si="24"/>
        <v>1570.1353444846725</v>
      </c>
      <c r="AI30" s="19">
        <f t="shared" si="33"/>
        <v>0.28429150527463537</v>
      </c>
      <c r="AJ30" s="19">
        <f t="shared" si="34"/>
        <v>16.288703403657788</v>
      </c>
      <c r="AK30" s="19">
        <f t="shared" si="25"/>
        <v>14.288703403657788</v>
      </c>
      <c r="AL30" s="19">
        <f t="shared" si="35"/>
        <v>0.24938492023474879</v>
      </c>
      <c r="AM30" s="19">
        <f t="shared" si="26"/>
        <v>-1521.5622837185265</v>
      </c>
      <c r="AN30" s="19">
        <f t="shared" si="27"/>
        <v>387.52189198194139</v>
      </c>
      <c r="AO30" s="19">
        <f t="shared" si="28"/>
        <v>-1813.5643107531534</v>
      </c>
      <c r="AP30" s="19">
        <f t="shared" si="29"/>
        <v>1119.1559154467236</v>
      </c>
      <c r="AQ30" s="234">
        <f t="shared" si="30"/>
        <v>-1813.5643107531534</v>
      </c>
      <c r="AR30" s="235">
        <f t="shared" si="31"/>
        <v>1119.1559154467236</v>
      </c>
      <c r="AS30" s="79">
        <f t="shared" si="36"/>
        <v>-8.1428830107601463E-2</v>
      </c>
      <c r="AT30" s="64">
        <f t="shared" si="37"/>
        <v>-4.665528295853373</v>
      </c>
      <c r="AU30" s="65">
        <f t="shared" si="38"/>
        <v>-4.0669436099351008</v>
      </c>
      <c r="AV30" s="65">
        <f t="shared" si="39"/>
        <v>49.834325215393541</v>
      </c>
      <c r="AW30" s="62">
        <f t="shared" si="40"/>
        <v>-1817.6312543630886</v>
      </c>
      <c r="AX30" s="24">
        <f t="shared" si="41"/>
        <v>1168.9902406621172</v>
      </c>
      <c r="BA30" s="99"/>
      <c r="BH30"/>
      <c r="BO30"/>
    </row>
    <row r="31" spans="2:74" s="11" customFormat="1" x14ac:dyDescent="0.25">
      <c r="B31" s="445"/>
      <c r="C31" s="123">
        <v>9</v>
      </c>
      <c r="D31" s="5">
        <f>VLOOKUP(INPUT!$C$4,'Vehicle &amp; Track Data'!$A$4:$AD$20,C31+1,FALSE)</f>
        <v>-1485</v>
      </c>
      <c r="E31" s="131">
        <f>VLOOKUP(INPUT!$C$4,'Vehicle &amp; Track Data'!$A$23:$AD$39,C31+1,FALSE)</f>
        <v>3580</v>
      </c>
      <c r="F31" s="17">
        <f t="shared" si="0"/>
        <v>1.1408382524383274</v>
      </c>
      <c r="G31" s="17">
        <f t="shared" si="1"/>
        <v>4.5481923685248934E-2</v>
      </c>
      <c r="H31" s="17">
        <f t="shared" si="2"/>
        <v>144.47526033210926</v>
      </c>
      <c r="I31" s="17">
        <f>IF(INPUT!$C$10=0,0,($G$3/2-D31)*SIN($M$4)-G31*(E31/M$3))</f>
        <v>84.961175908267464</v>
      </c>
      <c r="J31" s="38">
        <f t="shared" si="3"/>
        <v>-1627.1140829037179</v>
      </c>
      <c r="K31" s="127">
        <f t="shared" si="4"/>
        <v>3546.5558602936499</v>
      </c>
      <c r="L31" s="126"/>
      <c r="M31" s="41"/>
      <c r="N31" s="153">
        <f t="shared" si="14"/>
        <v>4.6522245067714872E-2</v>
      </c>
      <c r="O31" s="65">
        <f t="shared" si="5"/>
        <v>2.665528295853373</v>
      </c>
      <c r="P31" s="41">
        <f t="shared" si="6"/>
        <v>3.1677704198119723E-2</v>
      </c>
      <c r="Q31" s="41">
        <f t="shared" si="7"/>
        <v>2.104830843728885E-4</v>
      </c>
      <c r="R31" s="122">
        <f t="shared" si="8"/>
        <v>23.513397732617886</v>
      </c>
      <c r="S31" s="18">
        <f t="shared" si="9"/>
        <v>7.8290416351561157E-2</v>
      </c>
      <c r="T31" s="18">
        <f t="shared" si="10"/>
        <v>-1650.6591583405341</v>
      </c>
      <c r="U31" s="296">
        <f t="shared" si="11"/>
        <v>3540.4336224825893</v>
      </c>
      <c r="V31" s="95">
        <f t="shared" si="15"/>
        <v>-1675.6591583405341</v>
      </c>
      <c r="W31" s="211">
        <f t="shared" si="32"/>
        <v>3640.4336224825893</v>
      </c>
      <c r="X31" s="221">
        <f t="shared" si="16"/>
        <v>-4.6522245067714872E-2</v>
      </c>
      <c r="Y31" s="67">
        <f t="shared" si="17"/>
        <v>-2.665528295853373</v>
      </c>
      <c r="Z31" s="44">
        <f t="shared" si="12"/>
        <v>-1750.5780110046164</v>
      </c>
      <c r="AA31" s="34">
        <f t="shared" si="13"/>
        <v>3636.9457125787185</v>
      </c>
      <c r="AB31" s="208">
        <f t="shared" si="18"/>
        <v>163.11501562500001</v>
      </c>
      <c r="AC31" s="209">
        <f t="shared" si="19"/>
        <v>161.1183770593189</v>
      </c>
      <c r="AD31" s="209">
        <f t="shared" si="20"/>
        <v>-1913.5165419767347</v>
      </c>
      <c r="AE31" s="57">
        <f t="shared" si="21"/>
        <v>3629.359972865806</v>
      </c>
      <c r="AF31" s="47">
        <f t="shared" si="22"/>
        <v>-1621.5145149421078</v>
      </c>
      <c r="AG31" s="19">
        <f t="shared" si="23"/>
        <v>2897.7259494010236</v>
      </c>
      <c r="AH31" s="19">
        <f t="shared" si="24"/>
        <v>3320.560946587188</v>
      </c>
      <c r="AI31" s="19">
        <f t="shared" si="33"/>
        <v>1.0606264727263754</v>
      </c>
      <c r="AJ31" s="19">
        <f t="shared" si="34"/>
        <v>60.769420527068633</v>
      </c>
      <c r="AK31" s="19">
        <f t="shared" si="25"/>
        <v>58.769420527068633</v>
      </c>
      <c r="AL31" s="19">
        <f t="shared" si="35"/>
        <v>1.025719887686489</v>
      </c>
      <c r="AM31" s="19">
        <f t="shared" si="26"/>
        <v>-1721.6559093273333</v>
      </c>
      <c r="AN31" s="19">
        <f t="shared" si="27"/>
        <v>2839.370692579304</v>
      </c>
      <c r="AO31" s="19">
        <f t="shared" si="28"/>
        <v>-2013.6579363619605</v>
      </c>
      <c r="AP31" s="19">
        <f t="shared" si="29"/>
        <v>3571.0047160440859</v>
      </c>
      <c r="AQ31" s="234">
        <f t="shared" si="30"/>
        <v>-2013.6579363619603</v>
      </c>
      <c r="AR31" s="235">
        <f t="shared" si="31"/>
        <v>3571.0047160440863</v>
      </c>
      <c r="AS31" s="79">
        <f t="shared" si="36"/>
        <v>-8.1428830107601463E-2</v>
      </c>
      <c r="AT31" s="64">
        <f t="shared" si="37"/>
        <v>-4.665528295853373</v>
      </c>
      <c r="AU31" s="65">
        <f t="shared" si="38"/>
        <v>-4.0669436099351008</v>
      </c>
      <c r="AV31" s="65">
        <f t="shared" si="39"/>
        <v>49.834325215393541</v>
      </c>
      <c r="AW31" s="62">
        <f t="shared" si="40"/>
        <v>-2017.7248799718957</v>
      </c>
      <c r="AX31" s="24">
        <f t="shared" si="41"/>
        <v>3620.8390412594795</v>
      </c>
      <c r="BA31" s="99"/>
      <c r="BH31"/>
      <c r="BO31"/>
    </row>
    <row r="32" spans="2:74" s="11" customFormat="1" x14ac:dyDescent="0.25">
      <c r="B32" s="445"/>
      <c r="C32" s="123">
        <v>10</v>
      </c>
      <c r="D32" s="5">
        <f>VLOOKUP(INPUT!$C$4,'Vehicle &amp; Track Data'!$A$4:$AD$20,C32+1,FALSE)</f>
        <v>-1250</v>
      </c>
      <c r="E32" s="131">
        <f>VLOOKUP(INPUT!$C$4,'Vehicle &amp; Track Data'!$A$23:$AD$39,C32+1,FALSE)</f>
        <v>3916</v>
      </c>
      <c r="F32" s="17">
        <f t="shared" si="0"/>
        <v>1.1408382524383274</v>
      </c>
      <c r="G32" s="17">
        <f t="shared" si="1"/>
        <v>4.5481923685248934E-2</v>
      </c>
      <c r="H32" s="17">
        <f t="shared" si="2"/>
        <v>157.68378199905865</v>
      </c>
      <c r="I32" s="17">
        <f>IF(INPUT!$C$10=0,0,($G$3/2-D32)*SIN($M$4)-G32*(E32/M$3))</f>
        <v>75.32528204113791</v>
      </c>
      <c r="J32" s="38">
        <f t="shared" si="3"/>
        <v>-1405.696258911187</v>
      </c>
      <c r="K32" s="127">
        <f t="shared" si="4"/>
        <v>3891.6575079547592</v>
      </c>
      <c r="L32" s="126"/>
      <c r="M32" s="41"/>
      <c r="N32" s="153">
        <f t="shared" si="14"/>
        <v>4.6522245067714872E-2</v>
      </c>
      <c r="O32" s="65">
        <f t="shared" si="5"/>
        <v>2.665528295853373</v>
      </c>
      <c r="P32" s="41">
        <f t="shared" si="6"/>
        <v>3.1677704198119723E-2</v>
      </c>
      <c r="Q32" s="41">
        <f t="shared" si="7"/>
        <v>2.104830843728885E-4</v>
      </c>
      <c r="R32" s="122">
        <f t="shared" si="8"/>
        <v>25.811319747030943</v>
      </c>
      <c r="S32" s="18">
        <f t="shared" si="9"/>
        <v>8.590855426995303E-2</v>
      </c>
      <c r="T32" s="18">
        <f t="shared" si="10"/>
        <v>-1431.5392563624159</v>
      </c>
      <c r="U32" s="296">
        <f t="shared" si="11"/>
        <v>3886.998866783139</v>
      </c>
      <c r="V32" s="95">
        <f t="shared" si="15"/>
        <v>-1456.5392563624159</v>
      </c>
      <c r="W32" s="211">
        <f t="shared" si="32"/>
        <v>3986.998866783139</v>
      </c>
      <c r="X32" s="221">
        <f t="shared" si="16"/>
        <v>-4.6522245067714872E-2</v>
      </c>
      <c r="Y32" s="67">
        <f t="shared" si="17"/>
        <v>-2.665528295853373</v>
      </c>
      <c r="Z32" s="44">
        <f t="shared" si="12"/>
        <v>-1531.4581090264983</v>
      </c>
      <c r="AA32" s="34">
        <f t="shared" si="13"/>
        <v>3983.5109568792682</v>
      </c>
      <c r="AB32" s="208">
        <f t="shared" si="18"/>
        <v>163.11501562500001</v>
      </c>
      <c r="AC32" s="209">
        <f t="shared" si="19"/>
        <v>161.1183770593189</v>
      </c>
      <c r="AD32" s="209">
        <f t="shared" si="20"/>
        <v>-1694.3966399986166</v>
      </c>
      <c r="AE32" s="57">
        <f t="shared" si="21"/>
        <v>3975.9252171663557</v>
      </c>
      <c r="AF32" s="47">
        <f t="shared" si="22"/>
        <v>-1402.3946129639896</v>
      </c>
      <c r="AG32" s="19">
        <f t="shared" si="23"/>
        <v>3244.2911937015733</v>
      </c>
      <c r="AH32" s="19">
        <f t="shared" si="24"/>
        <v>3534.4215934152503</v>
      </c>
      <c r="AI32" s="19">
        <f t="shared" si="33"/>
        <v>1.16278800651391</v>
      </c>
      <c r="AJ32" s="19">
        <f t="shared" si="34"/>
        <v>66.622845241677524</v>
      </c>
      <c r="AK32" s="19">
        <f t="shared" si="25"/>
        <v>64.622845241677524</v>
      </c>
      <c r="AL32" s="19">
        <f t="shared" si="35"/>
        <v>1.1278814214740236</v>
      </c>
      <c r="AM32" s="19">
        <f t="shared" si="26"/>
        <v>-1514.7644418737459</v>
      </c>
      <c r="AN32" s="19">
        <f t="shared" si="27"/>
        <v>3193.3719929934432</v>
      </c>
      <c r="AO32" s="19">
        <f t="shared" si="28"/>
        <v>-1806.7664689083745</v>
      </c>
      <c r="AP32" s="19">
        <f t="shared" si="29"/>
        <v>3925.0060164582251</v>
      </c>
      <c r="AQ32" s="234">
        <f t="shared" si="30"/>
        <v>-1806.7664689083729</v>
      </c>
      <c r="AR32" s="235">
        <f t="shared" si="31"/>
        <v>3925.0060164582255</v>
      </c>
      <c r="AS32" s="79">
        <f t="shared" si="36"/>
        <v>-8.1428830107601463E-2</v>
      </c>
      <c r="AT32" s="64">
        <f t="shared" si="37"/>
        <v>-4.665528295853373</v>
      </c>
      <c r="AU32" s="65">
        <f t="shared" si="38"/>
        <v>-4.0669436099351008</v>
      </c>
      <c r="AV32" s="65">
        <f t="shared" si="39"/>
        <v>49.834325215393541</v>
      </c>
      <c r="AW32" s="62">
        <f t="shared" si="40"/>
        <v>-1810.8334125183096</v>
      </c>
      <c r="AX32" s="24">
        <f t="shared" si="41"/>
        <v>3974.8403416736187</v>
      </c>
      <c r="BA32" s="99"/>
      <c r="BH32"/>
      <c r="BO32"/>
    </row>
    <row r="33" spans="2:67" s="11" customFormat="1" x14ac:dyDescent="0.25">
      <c r="B33" s="445"/>
      <c r="C33" s="123">
        <v>11</v>
      </c>
      <c r="D33" s="5">
        <f>VLOOKUP(INPUT!$C$4,'Vehicle &amp; Track Data'!$A$4:$AD$20,C33+1,FALSE)</f>
        <v>-1065</v>
      </c>
      <c r="E33" s="131">
        <f>VLOOKUP(INPUT!$C$4,'Vehicle &amp; Track Data'!$A$23:$AD$39,C33+1,FALSE)</f>
        <v>4040</v>
      </c>
      <c r="F33" s="17">
        <f t="shared" si="0"/>
        <v>1.1408382524383274</v>
      </c>
      <c r="G33" s="17">
        <f t="shared" si="1"/>
        <v>4.5481923685248934E-2</v>
      </c>
      <c r="H33" s="17">
        <f t="shared" si="2"/>
        <v>162.48022688524051</v>
      </c>
      <c r="I33" s="17">
        <f>IF(INPUT!$C$10=0,0,($G$3/2-D33)*SIN($M$4)-G33*(E33/M$3))</f>
        <v>67.85128561358745</v>
      </c>
      <c r="J33" s="38">
        <f t="shared" si="3"/>
        <v>-1225.7868572143739</v>
      </c>
      <c r="K33" s="127">
        <f t="shared" si="4"/>
        <v>4022.9343420919927</v>
      </c>
      <c r="L33" s="126"/>
      <c r="M33" s="41"/>
      <c r="N33" s="153">
        <f t="shared" si="14"/>
        <v>4.6522245067714872E-2</v>
      </c>
      <c r="O33" s="65">
        <f t="shared" si="5"/>
        <v>2.665528295853373</v>
      </c>
      <c r="P33" s="41">
        <f t="shared" si="6"/>
        <v>3.1677704198119723E-2</v>
      </c>
      <c r="Q33" s="41">
        <f t="shared" si="7"/>
        <v>2.104830843728885E-4</v>
      </c>
      <c r="R33" s="122">
        <f t="shared" si="8"/>
        <v>26.687562580173648</v>
      </c>
      <c r="S33" s="18">
        <f t="shared" si="9"/>
        <v>8.8806497628743916E-2</v>
      </c>
      <c r="T33" s="18">
        <f t="shared" si="10"/>
        <v>-1252.5060974987455</v>
      </c>
      <c r="U33" s="296">
        <f t="shared" si="11"/>
        <v>4019.4682142839692</v>
      </c>
      <c r="V33" s="95">
        <f t="shared" si="15"/>
        <v>-1277.5060974987455</v>
      </c>
      <c r="W33" s="211">
        <f t="shared" si="32"/>
        <v>4119.4682142839692</v>
      </c>
      <c r="X33" s="221">
        <f t="shared" si="16"/>
        <v>-4.6522245067714872E-2</v>
      </c>
      <c r="Y33" s="67">
        <f t="shared" si="17"/>
        <v>-2.665528295853373</v>
      </c>
      <c r="Z33" s="44">
        <f t="shared" si="12"/>
        <v>-1352.4249501628278</v>
      </c>
      <c r="AA33" s="34">
        <f t="shared" si="13"/>
        <v>4115.9803043800985</v>
      </c>
      <c r="AB33" s="208">
        <f t="shared" si="18"/>
        <v>163.11501562500001</v>
      </c>
      <c r="AC33" s="209">
        <f t="shared" si="19"/>
        <v>161.1183770593189</v>
      </c>
      <c r="AD33" s="209">
        <f t="shared" si="20"/>
        <v>-1515.3634811349461</v>
      </c>
      <c r="AE33" s="57">
        <f t="shared" si="21"/>
        <v>4108.3945646671855</v>
      </c>
      <c r="AF33" s="47">
        <f t="shared" si="22"/>
        <v>-1223.3614541003192</v>
      </c>
      <c r="AG33" s="19">
        <f t="shared" si="23"/>
        <v>3376.7605412024031</v>
      </c>
      <c r="AH33" s="19">
        <f t="shared" si="24"/>
        <v>3591.5351870752979</v>
      </c>
      <c r="AI33" s="19">
        <f t="shared" si="33"/>
        <v>1.2232163020923039</v>
      </c>
      <c r="AJ33" s="19">
        <f t="shared" si="34"/>
        <v>70.085131541488551</v>
      </c>
      <c r="AK33" s="19">
        <f t="shared" si="25"/>
        <v>68.085131541488551</v>
      </c>
      <c r="AL33" s="19">
        <f t="shared" si="35"/>
        <v>1.1883097170524175</v>
      </c>
      <c r="AM33" s="19">
        <f t="shared" si="26"/>
        <v>-1340.4634587294306</v>
      </c>
      <c r="AN33" s="19">
        <f>AH33*SIN(AL33)</f>
        <v>3332.0088108843784</v>
      </c>
      <c r="AO33" s="19">
        <f t="shared" si="28"/>
        <v>-1632.4654857640571</v>
      </c>
      <c r="AP33" s="19">
        <f t="shared" si="29"/>
        <v>4063.6428343491607</v>
      </c>
      <c r="AQ33" s="234">
        <f t="shared" si="30"/>
        <v>-1632.4654857640576</v>
      </c>
      <c r="AR33" s="235">
        <f t="shared" si="31"/>
        <v>4063.6428343491607</v>
      </c>
      <c r="AS33" s="79">
        <f t="shared" si="36"/>
        <v>-8.1428830107601463E-2</v>
      </c>
      <c r="AT33" s="64">
        <f t="shared" si="37"/>
        <v>-4.665528295853373</v>
      </c>
      <c r="AU33" s="65">
        <f t="shared" si="38"/>
        <v>-4.0669436099351008</v>
      </c>
      <c r="AV33" s="65">
        <f t="shared" si="39"/>
        <v>49.834325215393541</v>
      </c>
      <c r="AW33" s="62">
        <f t="shared" si="40"/>
        <v>-1636.5324293739923</v>
      </c>
      <c r="AX33" s="24">
        <f t="shared" si="41"/>
        <v>4113.4771595645543</v>
      </c>
      <c r="BA33" s="99"/>
      <c r="BH33"/>
      <c r="BO33"/>
    </row>
    <row r="34" spans="2:67" s="11" customFormat="1" x14ac:dyDescent="0.25">
      <c r="B34" s="445"/>
      <c r="C34" s="123">
        <v>12</v>
      </c>
      <c r="D34" s="5">
        <f>VLOOKUP(INPUT!$C$4,'Vehicle &amp; Track Data'!$A$4:$AD$20,C34+1,FALSE)</f>
        <v>-760</v>
      </c>
      <c r="E34" s="131">
        <f>VLOOKUP(INPUT!$C$4,'Vehicle &amp; Track Data'!$A$23:$AD$39,C34+1,FALSE)</f>
        <v>4190</v>
      </c>
      <c r="F34" s="17">
        <f t="shared" si="0"/>
        <v>1.1408382524383274</v>
      </c>
      <c r="G34" s="17">
        <f t="shared" si="1"/>
        <v>4.5481923685248934E-2</v>
      </c>
      <c r="H34" s="17">
        <f t="shared" si="2"/>
        <v>168.2178155137029</v>
      </c>
      <c r="I34" s="17">
        <f>IF(INPUT!$C$10=0,0,($G$3/2-D34)*SIN($M$4)-G34*(E34/M$3))</f>
        <v>55.572565789776938</v>
      </c>
      <c r="J34" s="38">
        <f t="shared" si="3"/>
        <v>-927.00940147627693</v>
      </c>
      <c r="K34" s="127">
        <f t="shared" si="4"/>
        <v>4184.9745591452584</v>
      </c>
      <c r="L34" s="126"/>
      <c r="M34" s="41"/>
      <c r="N34" s="153">
        <f t="shared" si="14"/>
        <v>4.6522245067714872E-2</v>
      </c>
      <c r="O34" s="65">
        <f t="shared" si="5"/>
        <v>2.665528295853373</v>
      </c>
      <c r="P34" s="41">
        <f t="shared" si="6"/>
        <v>3.1677704198119723E-2</v>
      </c>
      <c r="Q34" s="41">
        <f t="shared" si="7"/>
        <v>2.104830843728885E-4</v>
      </c>
      <c r="R34" s="122">
        <f t="shared" si="8"/>
        <v>27.770837292076866</v>
      </c>
      <c r="S34" s="18">
        <f t="shared" si="9"/>
        <v>9.2383544363247375E-2</v>
      </c>
      <c r="T34" s="18">
        <f t="shared" si="10"/>
        <v>-954.81191647255196</v>
      </c>
      <c r="U34" s="296">
        <f t="shared" si="11"/>
        <v>4183.4900865545405</v>
      </c>
      <c r="V34" s="95">
        <f t="shared" si="15"/>
        <v>-979.81191647255196</v>
      </c>
      <c r="W34" s="211">
        <f t="shared" si="32"/>
        <v>4283.4900865545405</v>
      </c>
      <c r="X34" s="221">
        <f t="shared" si="16"/>
        <v>-4.6522245067714872E-2</v>
      </c>
      <c r="Y34" s="67">
        <f t="shared" si="17"/>
        <v>-2.665528295853373</v>
      </c>
      <c r="Z34" s="44">
        <f t="shared" si="12"/>
        <v>-1054.7307691366343</v>
      </c>
      <c r="AA34" s="34">
        <f t="shared" si="13"/>
        <v>4280.0021766506698</v>
      </c>
      <c r="AB34" s="208">
        <f t="shared" si="18"/>
        <v>163.11501562500001</v>
      </c>
      <c r="AC34" s="209">
        <f t="shared" si="19"/>
        <v>161.1183770593189</v>
      </c>
      <c r="AD34" s="209">
        <f t="shared" si="20"/>
        <v>-1217.6693001087526</v>
      </c>
      <c r="AE34" s="57">
        <f t="shared" si="21"/>
        <v>4272.4164369377568</v>
      </c>
      <c r="AF34" s="47">
        <f t="shared" si="22"/>
        <v>-925.66727307412566</v>
      </c>
      <c r="AG34" s="19">
        <f t="shared" si="23"/>
        <v>3540.7824134729744</v>
      </c>
      <c r="AH34" s="19">
        <f t="shared" si="24"/>
        <v>3659.7814142377397</v>
      </c>
      <c r="AI34" s="19">
        <f t="shared" si="33"/>
        <v>1.3150891431342246</v>
      </c>
      <c r="AJ34" s="19">
        <f t="shared" si="34"/>
        <v>75.349057585066902</v>
      </c>
      <c r="AK34" s="19">
        <f t="shared" si="25"/>
        <v>73.349057585066902</v>
      </c>
      <c r="AL34" s="19">
        <f t="shared" si="35"/>
        <v>1.2801825580943382</v>
      </c>
      <c r="AM34" s="19">
        <f t="shared" si="26"/>
        <v>-1048.6749057453342</v>
      </c>
      <c r="AN34" s="19">
        <f>AH34*SIN(AL34)</f>
        <v>3506.3201425511625</v>
      </c>
      <c r="AO34" s="19">
        <f t="shared" si="28"/>
        <v>-1340.6769327799623</v>
      </c>
      <c r="AP34" s="19">
        <f t="shared" si="29"/>
        <v>4237.9541660159448</v>
      </c>
      <c r="AQ34" s="234">
        <f t="shared" si="30"/>
        <v>-1340.6769327799611</v>
      </c>
      <c r="AR34" s="235">
        <f t="shared" si="31"/>
        <v>4237.9541660159448</v>
      </c>
      <c r="AS34" s="79">
        <f t="shared" si="36"/>
        <v>-8.1428830107601463E-2</v>
      </c>
      <c r="AT34" s="64">
        <f t="shared" si="37"/>
        <v>-4.665528295853373</v>
      </c>
      <c r="AU34" s="65">
        <f t="shared" si="38"/>
        <v>-4.0669436099351008</v>
      </c>
      <c r="AV34" s="65">
        <f t="shared" si="39"/>
        <v>49.834325215393541</v>
      </c>
      <c r="AW34" s="62">
        <f t="shared" si="40"/>
        <v>-1344.7438763898974</v>
      </c>
      <c r="AX34" s="24">
        <f t="shared" si="41"/>
        <v>4287.7884912313384</v>
      </c>
      <c r="BA34" s="99"/>
      <c r="BH34"/>
      <c r="BO34"/>
    </row>
    <row r="35" spans="2:67" s="11" customFormat="1" x14ac:dyDescent="0.25">
      <c r="B35" s="445"/>
      <c r="C35" s="123">
        <v>13</v>
      </c>
      <c r="D35" s="5">
        <f>VLOOKUP(INPUT!$C$4,'Vehicle &amp; Track Data'!$A$4:$AD$20,C35+1,FALSE)</f>
        <v>-455</v>
      </c>
      <c r="E35" s="131">
        <f>VLOOKUP(INPUT!$C$4,'Vehicle &amp; Track Data'!$A$23:$AD$39,C35+1,FALSE)</f>
        <v>4270</v>
      </c>
      <c r="F35" s="17">
        <f t="shared" si="0"/>
        <v>1.1408382524383274</v>
      </c>
      <c r="G35" s="17">
        <f t="shared" si="1"/>
        <v>4.5481923685248934E-2</v>
      </c>
      <c r="H35" s="17">
        <f t="shared" si="2"/>
        <v>171.16470646774667</v>
      </c>
      <c r="I35" s="17">
        <f>IF(INPUT!$C$10=0,0,($G$3/2-D35)*SIN($M$4)-G35*(E35/M$3))</f>
        <v>43.34949661242684</v>
      </c>
      <c r="J35" s="38">
        <f t="shared" si="3"/>
        <v>-625.44124806376135</v>
      </c>
      <c r="K35" s="127">
        <f t="shared" si="4"/>
        <v>4277.0704268449854</v>
      </c>
      <c r="L35" s="126"/>
      <c r="M35" s="41"/>
      <c r="N35" s="153">
        <f t="shared" si="14"/>
        <v>4.6522245067714872E-2</v>
      </c>
      <c r="O35" s="65">
        <f t="shared" si="5"/>
        <v>2.665528295853373</v>
      </c>
      <c r="P35" s="41">
        <f t="shared" si="6"/>
        <v>3.1677704198119723E-2</v>
      </c>
      <c r="Q35" s="41">
        <f t="shared" si="7"/>
        <v>2.104830843728885E-4</v>
      </c>
      <c r="R35" s="122">
        <f t="shared" si="8"/>
        <v>28.389427101452789</v>
      </c>
      <c r="S35" s="18">
        <f t="shared" si="9"/>
        <v>9.441656572551993E-2</v>
      </c>
      <c r="T35" s="18">
        <f t="shared" si="10"/>
        <v>-653.86235286941235</v>
      </c>
      <c r="U35" s="296">
        <f t="shared" si="11"/>
        <v>4277.5876963386363</v>
      </c>
      <c r="V35" s="95">
        <f t="shared" si="15"/>
        <v>-678.86235286941235</v>
      </c>
      <c r="W35" s="211">
        <f t="shared" si="32"/>
        <v>4377.5876963386363</v>
      </c>
      <c r="X35" s="221">
        <f t="shared" si="16"/>
        <v>-4.6522245067714872E-2</v>
      </c>
      <c r="Y35" s="67">
        <f t="shared" si="17"/>
        <v>-2.665528295853373</v>
      </c>
      <c r="Z35" s="44">
        <f t="shared" si="12"/>
        <v>-753.7812055334947</v>
      </c>
      <c r="AA35" s="34">
        <f t="shared" si="13"/>
        <v>4374.0997864347655</v>
      </c>
      <c r="AB35" s="208">
        <f t="shared" si="18"/>
        <v>163.11501562500001</v>
      </c>
      <c r="AC35" s="209">
        <f t="shared" si="19"/>
        <v>161.1183770593189</v>
      </c>
      <c r="AD35" s="209">
        <f t="shared" si="20"/>
        <v>-916.7197365056129</v>
      </c>
      <c r="AE35" s="57">
        <f t="shared" si="21"/>
        <v>4366.5140467218525</v>
      </c>
      <c r="AF35" s="47">
        <f t="shared" si="22"/>
        <v>-624.71770947098594</v>
      </c>
      <c r="AG35" s="19">
        <f t="shared" si="23"/>
        <v>3634.8800232570702</v>
      </c>
      <c r="AH35" s="19">
        <f t="shared" si="24"/>
        <v>3688.1736672776128</v>
      </c>
      <c r="AI35" s="19">
        <f t="shared" si="33"/>
        <v>1.4005916951166562</v>
      </c>
      <c r="AJ35" s="19">
        <f t="shared" si="34"/>
        <v>80.247992951258155</v>
      </c>
      <c r="AK35" s="19">
        <f t="shared" si="25"/>
        <v>78.247992951258155</v>
      </c>
      <c r="AL35" s="19">
        <f t="shared" si="35"/>
        <v>1.3656851100767697</v>
      </c>
      <c r="AM35" s="19">
        <f t="shared" si="26"/>
        <v>-751.192631707332</v>
      </c>
      <c r="AN35" s="19">
        <f>AH35*SIN(AL35)</f>
        <v>3610.8634189163968</v>
      </c>
      <c r="AO35" s="19">
        <f t="shared" si="28"/>
        <v>-1043.1946587419575</v>
      </c>
      <c r="AP35" s="19">
        <f t="shared" si="29"/>
        <v>4342.4974423811791</v>
      </c>
      <c r="AQ35" s="234">
        <f t="shared" si="30"/>
        <v>-1043.1946587419588</v>
      </c>
      <c r="AR35" s="235">
        <f t="shared" si="31"/>
        <v>4342.4974423811791</v>
      </c>
      <c r="AS35" s="79">
        <f t="shared" si="36"/>
        <v>-8.1428830107601463E-2</v>
      </c>
      <c r="AT35" s="64">
        <f t="shared" si="37"/>
        <v>-4.665528295853373</v>
      </c>
      <c r="AU35" s="65">
        <f t="shared" si="38"/>
        <v>-4.0669436099351008</v>
      </c>
      <c r="AV35" s="65">
        <f t="shared" si="39"/>
        <v>49.834325215393541</v>
      </c>
      <c r="AW35" s="62">
        <f t="shared" si="40"/>
        <v>-1047.2616023518926</v>
      </c>
      <c r="AX35" s="24">
        <f t="shared" si="41"/>
        <v>4392.3317675965727</v>
      </c>
      <c r="BA35" s="99"/>
      <c r="BH35"/>
      <c r="BO35"/>
    </row>
    <row r="36" spans="2:67" s="11" customFormat="1" ht="12" thickBot="1" x14ac:dyDescent="0.3">
      <c r="B36" s="446"/>
      <c r="C36" s="124">
        <v>14</v>
      </c>
      <c r="D36" s="132">
        <f>VLOOKUP(INPUT!$C$4,'Vehicle &amp; Track Data'!$A$4:$AD$20,C36+1,FALSE)</f>
        <v>0</v>
      </c>
      <c r="E36" s="133">
        <f>VLOOKUP(INPUT!$C$4,'Vehicle &amp; Track Data'!$A$23:$AD$39,C36+1,FALSE)</f>
        <v>4270</v>
      </c>
      <c r="F36" s="26">
        <f t="shared" si="0"/>
        <v>1.1408382524383274</v>
      </c>
      <c r="G36" s="26">
        <f t="shared" si="1"/>
        <v>4.5481923685248934E-2</v>
      </c>
      <c r="H36" s="17">
        <f t="shared" si="2"/>
        <v>170.80297726575401</v>
      </c>
      <c r="I36" s="26">
        <f>IF(INPUT!$C$10=0,0,($G$3/2-D36)*SIN($M$4)-G36*(E36/M$3))</f>
        <v>25.209961728705917</v>
      </c>
      <c r="J36" s="26">
        <f t="shared" si="3"/>
        <v>-170.80297726575398</v>
      </c>
      <c r="K36" s="195">
        <f t="shared" si="4"/>
        <v>4295.2099617287067</v>
      </c>
      <c r="L36" s="196"/>
      <c r="M36" s="42"/>
      <c r="N36" s="290">
        <f t="shared" si="14"/>
        <v>4.6522245067714872E-2</v>
      </c>
      <c r="O36" s="80">
        <f t="shared" si="5"/>
        <v>2.665528295853373</v>
      </c>
      <c r="P36" s="207">
        <f t="shared" si="6"/>
        <v>3.1677704198119723E-2</v>
      </c>
      <c r="Q36" s="42">
        <f t="shared" si="7"/>
        <v>2.104830843728885E-4</v>
      </c>
      <c r="R36" s="201">
        <f t="shared" si="8"/>
        <v>28.519991737360471</v>
      </c>
      <c r="S36" s="27">
        <f t="shared" si="9"/>
        <v>9.4816996959204952E-2</v>
      </c>
      <c r="T36" s="27">
        <f t="shared" si="10"/>
        <v>-199.35464670731258</v>
      </c>
      <c r="U36" s="297">
        <f t="shared" si="11"/>
        <v>4298.7476830887854</v>
      </c>
      <c r="V36" s="96">
        <f t="shared" si="15"/>
        <v>-224.35464670731258</v>
      </c>
      <c r="W36" s="212">
        <f>U36+$G$6</f>
        <v>4398.7476830887854</v>
      </c>
      <c r="X36" s="355">
        <f t="shared" si="16"/>
        <v>-4.6522245067714872E-2</v>
      </c>
      <c r="Y36" s="68">
        <f t="shared" si="17"/>
        <v>-2.665528295853373</v>
      </c>
      <c r="Z36" s="51">
        <f t="shared" si="12"/>
        <v>-299.27349937139496</v>
      </c>
      <c r="AA36" s="35">
        <f t="shared" si="13"/>
        <v>4395.2597731849146</v>
      </c>
      <c r="AB36" s="307">
        <f t="shared" si="18"/>
        <v>163.11501562500001</v>
      </c>
      <c r="AC36" s="119">
        <f t="shared" si="19"/>
        <v>161.1183770593189</v>
      </c>
      <c r="AD36" s="119">
        <f>Z36-IF($D$13="Right",AC36,AB36)*COS(X36)</f>
        <v>-462.21203034351322</v>
      </c>
      <c r="AE36" s="120">
        <f t="shared" si="21"/>
        <v>4387.6740334720016</v>
      </c>
      <c r="AF36" s="48">
        <f t="shared" si="22"/>
        <v>-170.21000330888626</v>
      </c>
      <c r="AG36" s="28">
        <f t="shared" si="23"/>
        <v>3656.0400100072193</v>
      </c>
      <c r="AH36" s="28">
        <f t="shared" si="24"/>
        <v>3659.9999999999995</v>
      </c>
      <c r="AI36" s="28">
        <f>ASIN(AG36/AH36)</f>
        <v>1.5242740817271831</v>
      </c>
      <c r="AJ36" s="28">
        <f>DEGREES(AI36)</f>
        <v>87.334471704146708</v>
      </c>
      <c r="AK36" s="28">
        <f t="shared" si="25"/>
        <v>85.334471704146708</v>
      </c>
      <c r="AL36" s="28">
        <f>RADIANS(AK36)</f>
        <v>1.4893674966872965</v>
      </c>
      <c r="AM36" s="28">
        <f t="shared" si="26"/>
        <v>-297.70027224724441</v>
      </c>
      <c r="AN36" s="28">
        <f>AH36*SIN(AL36)</f>
        <v>3647.8726057668068</v>
      </c>
      <c r="AO36" s="28">
        <f t="shared" si="28"/>
        <v>-589.70229928187632</v>
      </c>
      <c r="AP36" s="28">
        <f t="shared" si="29"/>
        <v>4379.5066292315896</v>
      </c>
      <c r="AQ36" s="236">
        <f t="shared" si="30"/>
        <v>-589.70229928187132</v>
      </c>
      <c r="AR36" s="237">
        <f t="shared" si="31"/>
        <v>4379.5066292315887</v>
      </c>
      <c r="AS36" s="313">
        <f t="shared" si="36"/>
        <v>-8.1428830107601463E-2</v>
      </c>
      <c r="AT36" s="314">
        <f t="shared" si="37"/>
        <v>-4.665528295853373</v>
      </c>
      <c r="AU36" s="65">
        <f t="shared" si="38"/>
        <v>-4.0669436099351008</v>
      </c>
      <c r="AV36" s="65">
        <f t="shared" si="39"/>
        <v>49.834325215393541</v>
      </c>
      <c r="AW36" s="315">
        <f t="shared" si="40"/>
        <v>-593.76924289181147</v>
      </c>
      <c r="AX36" s="316">
        <f t="shared" si="41"/>
        <v>4429.3409544469832</v>
      </c>
      <c r="BA36" s="99"/>
      <c r="BH36"/>
      <c r="BO36"/>
    </row>
    <row r="37" spans="2:67" s="11" customFormat="1" ht="12" customHeight="1" x14ac:dyDescent="0.25">
      <c r="B37" s="444" t="s">
        <v>44</v>
      </c>
      <c r="C37" s="125">
        <v>14</v>
      </c>
      <c r="D37" s="129">
        <f>VLOOKUP(INPUT!$C$4,'Vehicle &amp; Track Data'!$A$4:$AD$20,C37+1,FALSE)</f>
        <v>0</v>
      </c>
      <c r="E37" s="130">
        <f>VLOOKUP(INPUT!$C$4,'Vehicle &amp; Track Data'!$A$23:$AD$39,C37+1,FALSE)</f>
        <v>4270</v>
      </c>
      <c r="F37" s="38">
        <f t="shared" si="0"/>
        <v>1.1408382524383274</v>
      </c>
      <c r="G37" s="38">
        <f t="shared" si="1"/>
        <v>4.5481923685248934E-2</v>
      </c>
      <c r="H37" s="17">
        <f t="shared" si="2"/>
        <v>170.80297726575401</v>
      </c>
      <c r="I37" s="38">
        <f>IF(INPUT!$C$10=0,0,($G$3/2-D37)*SIN($M$4)-G37*(E37/M$3))</f>
        <v>25.209961728705917</v>
      </c>
      <c r="J37" s="197">
        <f t="shared" si="3"/>
        <v>-170.80297726575398</v>
      </c>
      <c r="K37" s="198">
        <f t="shared" si="4"/>
        <v>4295.2099617287067</v>
      </c>
      <c r="L37" s="199"/>
      <c r="M37" s="200"/>
      <c r="N37" s="153">
        <f>$M$4-$M$8</f>
        <v>3.3233110736595871E-2</v>
      </c>
      <c r="O37" s="154">
        <f t="shared" si="5"/>
        <v>1.9041169852978459</v>
      </c>
      <c r="P37" s="43">
        <f t="shared" ref="P37:P51" si="42">($G$9*$G$3/1505)*TAN(-$M$8/2)</f>
        <v>-3.1677704198119723E-2</v>
      </c>
      <c r="Q37" s="200">
        <f t="shared" si="7"/>
        <v>-2.104830843728885E-4</v>
      </c>
      <c r="R37" s="202">
        <f t="shared" ref="R37:R51" si="43">(($G$3/2-J37)/$G$3)*-P37+K37*SIN(-$M$8)</f>
        <v>-28.519991737360471</v>
      </c>
      <c r="S37" s="202">
        <f t="shared" ref="S37:S51" si="44">($G$3/2-J37)*SIN($L37)-$Q37*K37/(($G$9*$G$3/1505))</f>
        <v>9.4816996959204952E-2</v>
      </c>
      <c r="T37" s="202">
        <f t="shared" ref="T37:T51" si="45">IF($D$11,$N73,$M$10+(J37-$M$10)*COS(-$M$8)-(K37-$M$11)*SIN(-$M$8))</f>
        <v>-142.27544455809388</v>
      </c>
      <c r="U37" s="298">
        <f t="shared" ref="U37:U51" si="46">IF($D$11,$O73,$M$11+(J37-$M$10)*SIN(-$M$8)+(K37-$M$11)*COS(-$M$8))</f>
        <v>4291.4826063747087</v>
      </c>
      <c r="V37" s="94">
        <f>T37+IF(OR($D$10,$D$7&gt;2000),$G$4,$G$5)</f>
        <v>-117.27544455809388</v>
      </c>
      <c r="W37" s="299">
        <f>U37+$G$6</f>
        <v>4391.4826063747087</v>
      </c>
      <c r="X37" s="356">
        <f t="shared" si="16"/>
        <v>-3.3233110736595871E-2</v>
      </c>
      <c r="Y37" s="69">
        <f t="shared" si="17"/>
        <v>-1.9041169852978459</v>
      </c>
      <c r="Z37" s="52">
        <f t="shared" ref="Z37:Z51" si="47">V37+($J$4+$G$8)*COS(X37)</f>
        <v>-42.316857233246182</v>
      </c>
      <c r="AA37" s="304">
        <f t="shared" ref="AA37:AA51" si="48">W37-($J$4+$G$8)*SIN(X37)</f>
        <v>4393.9746309057236</v>
      </c>
      <c r="AB37" s="308">
        <f t="shared" si="18"/>
        <v>163.11501562500001</v>
      </c>
      <c r="AC37" s="53">
        <f t="shared" si="19"/>
        <v>161.1183770593189</v>
      </c>
      <c r="AD37" s="53">
        <f>Z37+IF($D$13="Right",AB37,AC37)*COS(X37)</f>
        <v>118.71255525260308</v>
      </c>
      <c r="AE37" s="121">
        <f>AA37-IF($D$13="Right",AB37,AC37)*SIN(X37)</f>
        <v>4399.3281102127794</v>
      </c>
      <c r="AF37" s="46">
        <f t="shared" ref="AF37:AF50" si="49">AD37-$AD$51</f>
        <v>-121.61079711354587</v>
      </c>
      <c r="AG37" s="22">
        <f t="shared" ref="AG37:AG50" si="50">AE37-$AE$51</f>
        <v>3657.9790614525673</v>
      </c>
      <c r="AH37" s="22">
        <f t="shared" si="24"/>
        <v>3659.9999999999995</v>
      </c>
      <c r="AI37" s="22">
        <f>ASIN(AG37/AH37)</f>
        <v>1.5375632160583004</v>
      </c>
      <c r="AJ37" s="22">
        <f>DEGREES(AI37)</f>
        <v>88.095883014702139</v>
      </c>
      <c r="AK37" s="22">
        <f t="shared" si="25"/>
        <v>86.095883014702139</v>
      </c>
      <c r="AL37" s="22">
        <f>RADIANS(AK37)</f>
        <v>1.502656631018414</v>
      </c>
      <c r="AM37" s="22">
        <f t="shared" si="26"/>
        <v>-249.19834329474031</v>
      </c>
      <c r="AN37" s="22">
        <f>AH37*SIN(AL37)</f>
        <v>3651.5065638307638</v>
      </c>
      <c r="AO37" s="357">
        <f t="shared" ref="AO37:AO50" si="51">$AD$51+(AD37-$AD$51)*COS(-$J$9)-(AE37-$AE$51)*SIN(-$J$9)</f>
        <v>246.44826545737234</v>
      </c>
      <c r="AP37" s="357">
        <f t="shared" ref="AP37:AP50" si="52">$AE$51+((AD37-$AD$51)*SIN(-$J$9))+((AE37-$AE$51)*COS(-$J$9))</f>
        <v>4401.343923816682</v>
      </c>
      <c r="AQ37" s="232">
        <f t="shared" ref="AQ37:AQ50" si="53">AM37+$AD$51</f>
        <v>-8.8749909285913589</v>
      </c>
      <c r="AR37" s="233">
        <f t="shared" ref="AR37:AR50" si="54">AN37+$AE$51</f>
        <v>4392.8556125909754</v>
      </c>
      <c r="AS37" s="317">
        <f>RADIANS(AT37)</f>
        <v>1.5691228524916059</v>
      </c>
      <c r="AT37" s="318">
        <f>90-Y37-$J$8</f>
        <v>89.904116985297847</v>
      </c>
      <c r="AU37" s="318">
        <f>$J$12*COS(AS37)</f>
        <v>8.367367610960938E-2</v>
      </c>
      <c r="AV37" s="318">
        <f>$J$12*SIN(AS37)</f>
        <v>49.999929987110249</v>
      </c>
      <c r="AW37" s="21">
        <f t="shared" si="40"/>
        <v>246.53193913348196</v>
      </c>
      <c r="AX37" s="23">
        <f t="shared" si="41"/>
        <v>4451.3438538037926</v>
      </c>
      <c r="BA37" s="99"/>
      <c r="BH37"/>
      <c r="BO37"/>
    </row>
    <row r="38" spans="2:67" s="11" customFormat="1" x14ac:dyDescent="0.25">
      <c r="B38" s="445"/>
      <c r="C38" s="123">
        <v>15</v>
      </c>
      <c r="D38" s="5">
        <f>VLOOKUP(INPUT!$C$4,'Vehicle &amp; Track Data'!$A$4:$AD$20,C38+1,FALSE)</f>
        <v>0</v>
      </c>
      <c r="E38" s="131">
        <f>VLOOKUP(INPUT!$C$4,'Vehicle &amp; Track Data'!$A$23:$AD$39,C38+1,FALSE)</f>
        <v>4270</v>
      </c>
      <c r="F38" s="17">
        <f t="shared" si="0"/>
        <v>1.1408382524383274</v>
      </c>
      <c r="G38" s="17">
        <f t="shared" si="1"/>
        <v>4.5481923685248934E-2</v>
      </c>
      <c r="H38" s="17">
        <f t="shared" si="2"/>
        <v>170.80297726575401</v>
      </c>
      <c r="I38" s="17">
        <f>IF(INPUT!$C$10=0,0,($G$3/2-D38)*SIN($M$4)-G38*(E38/M$3))</f>
        <v>25.209961728705917</v>
      </c>
      <c r="J38" s="38">
        <f t="shared" si="3"/>
        <v>-170.80297726575398</v>
      </c>
      <c r="K38" s="127">
        <f t="shared" si="4"/>
        <v>4295.2099617287067</v>
      </c>
      <c r="L38" s="126"/>
      <c r="M38" s="41"/>
      <c r="N38" s="153">
        <f t="shared" ref="N38:N51" si="55">$M$4-$M$8</f>
        <v>3.3233110736595871E-2</v>
      </c>
      <c r="O38" s="65">
        <f t="shared" si="5"/>
        <v>1.9041169852978459</v>
      </c>
      <c r="P38" s="41">
        <f t="shared" si="42"/>
        <v>-3.1677704198119723E-2</v>
      </c>
      <c r="Q38" s="41">
        <f t="shared" si="7"/>
        <v>-2.104830843728885E-4</v>
      </c>
      <c r="R38" s="122">
        <f t="shared" si="43"/>
        <v>-28.519991737360471</v>
      </c>
      <c r="S38" s="18">
        <f t="shared" si="44"/>
        <v>9.4816996959204952E-2</v>
      </c>
      <c r="T38" s="18">
        <f t="shared" si="45"/>
        <v>-142.27544455809388</v>
      </c>
      <c r="U38" s="296">
        <f t="shared" si="46"/>
        <v>4291.4826063747087</v>
      </c>
      <c r="V38" s="95">
        <f>T38+IF(OR($D$10,$D$7&gt;2000),$G$4,$G$5)</f>
        <v>-117.27544455809388</v>
      </c>
      <c r="W38" s="211">
        <f>U38+$G$6</f>
        <v>4391.4826063747087</v>
      </c>
      <c r="X38" s="221">
        <f t="shared" si="16"/>
        <v>-3.3233110736595871E-2</v>
      </c>
      <c r="Y38" s="67">
        <f t="shared" si="17"/>
        <v>-1.9041169852978459</v>
      </c>
      <c r="Z38" s="44">
        <f t="shared" si="47"/>
        <v>-42.316857233246182</v>
      </c>
      <c r="AA38" s="305">
        <f t="shared" si="48"/>
        <v>4393.9746309057236</v>
      </c>
      <c r="AB38" s="309">
        <f t="shared" si="18"/>
        <v>163.11501562500001</v>
      </c>
      <c r="AC38" s="45">
        <f t="shared" si="19"/>
        <v>161.1183770593189</v>
      </c>
      <c r="AD38" s="45">
        <f t="shared" ref="AD38:AD51" si="56">Z38+IF($D$13="Right",AB38,AC38)*COS(X38)</f>
        <v>118.71255525260308</v>
      </c>
      <c r="AE38" s="36">
        <f t="shared" ref="AE38:AE51" si="57">AA38-IF($D$13="Right",AB38,AC38)*SIN(X38)</f>
        <v>4399.3281102127794</v>
      </c>
      <c r="AF38" s="47">
        <f t="shared" si="49"/>
        <v>-121.61079711354587</v>
      </c>
      <c r="AG38" s="19">
        <f t="shared" si="50"/>
        <v>3657.9790614525673</v>
      </c>
      <c r="AH38" s="19">
        <f t="shared" si="24"/>
        <v>3659.9999999999995</v>
      </c>
      <c r="AI38" s="19">
        <f t="shared" si="33"/>
        <v>1.5375632160583004</v>
      </c>
      <c r="AJ38" s="19">
        <f t="shared" si="34"/>
        <v>88.095883014702139</v>
      </c>
      <c r="AK38" s="19">
        <f t="shared" si="25"/>
        <v>86.095883014702139</v>
      </c>
      <c r="AL38" s="19">
        <f t="shared" si="35"/>
        <v>1.502656631018414</v>
      </c>
      <c r="AM38" s="19">
        <f t="shared" si="26"/>
        <v>-249.19834329474031</v>
      </c>
      <c r="AN38" s="19">
        <f t="shared" ref="AN38:AN50" si="58">AH38*SIN(AL38)</f>
        <v>3651.5065638307638</v>
      </c>
      <c r="AO38" s="19">
        <f t="shared" si="51"/>
        <v>246.44826545737234</v>
      </c>
      <c r="AP38" s="19">
        <f t="shared" si="52"/>
        <v>4401.343923816682</v>
      </c>
      <c r="AQ38" s="234">
        <f t="shared" si="53"/>
        <v>-8.8749909285913589</v>
      </c>
      <c r="AR38" s="235">
        <f t="shared" si="54"/>
        <v>4392.8556125909754</v>
      </c>
      <c r="AS38" s="319">
        <f t="shared" ref="AS38:AS50" si="59">RADIANS(AT38)</f>
        <v>1.5691228524916059</v>
      </c>
      <c r="AT38" s="65">
        <f>90-Y38-$J$8</f>
        <v>89.904116985297847</v>
      </c>
      <c r="AU38" s="65">
        <f>$J$12*COS(AS38)</f>
        <v>8.367367610960938E-2</v>
      </c>
      <c r="AV38" s="65">
        <f>$J$12*SIN(AS38)</f>
        <v>49.999929987110249</v>
      </c>
      <c r="AW38" s="18">
        <f t="shared" si="40"/>
        <v>246.53193913348196</v>
      </c>
      <c r="AX38" s="24">
        <f t="shared" si="41"/>
        <v>4451.3438538037926</v>
      </c>
      <c r="BA38" s="99"/>
      <c r="BH38"/>
      <c r="BO38"/>
    </row>
    <row r="39" spans="2:67" s="11" customFormat="1" x14ac:dyDescent="0.25">
      <c r="B39" s="445"/>
      <c r="C39" s="123">
        <v>16</v>
      </c>
      <c r="D39" s="5">
        <f>VLOOKUP(INPUT!$C$4,'Vehicle &amp; Track Data'!$A$4:$AD$20,C39+1,FALSE)</f>
        <v>455</v>
      </c>
      <c r="E39" s="131">
        <f>VLOOKUP(INPUT!$C$4,'Vehicle &amp; Track Data'!$A$23:$AD$39,C39+1,FALSE)</f>
        <v>4270</v>
      </c>
      <c r="F39" s="17">
        <f t="shared" si="0"/>
        <v>1.1408382524383274</v>
      </c>
      <c r="G39" s="17">
        <f t="shared" si="1"/>
        <v>4.5481923685248934E-2</v>
      </c>
      <c r="H39" s="17">
        <f t="shared" si="2"/>
        <v>170.44124806376138</v>
      </c>
      <c r="I39" s="17">
        <f>IF(INPUT!$C$10=0,0,($G$3/2-D39)*SIN($M$4)-G39*(E39/M$3))</f>
        <v>7.0704268449849872</v>
      </c>
      <c r="J39" s="38">
        <f t="shared" si="3"/>
        <v>283.83529353225344</v>
      </c>
      <c r="K39" s="127">
        <f t="shared" si="4"/>
        <v>4313.3494966124272</v>
      </c>
      <c r="L39" s="126"/>
      <c r="M39" s="41"/>
      <c r="N39" s="153">
        <f t="shared" si="55"/>
        <v>3.3233110736595871E-2</v>
      </c>
      <c r="O39" s="65">
        <f t="shared" si="5"/>
        <v>1.9041169852978459</v>
      </c>
      <c r="P39" s="41">
        <f t="shared" si="42"/>
        <v>-3.1677704198119723E-2</v>
      </c>
      <c r="Q39" s="41">
        <f t="shared" si="7"/>
        <v>-2.104830843728885E-4</v>
      </c>
      <c r="R39" s="122">
        <f t="shared" si="43"/>
        <v>-28.650556373268149</v>
      </c>
      <c r="S39" s="18">
        <f t="shared" si="44"/>
        <v>9.5217428192889947E-2</v>
      </c>
      <c r="T39" s="18">
        <f t="shared" si="45"/>
        <v>312.47331854598218</v>
      </c>
      <c r="U39" s="296">
        <f t="shared" si="46"/>
        <v>4306.600888529535</v>
      </c>
      <c r="V39" s="95">
        <f t="shared" ref="V39:V50" si="60">T39+IF(OR($D$10,$D$7&gt;2000),$G$4,$G$5)</f>
        <v>337.47331854598218</v>
      </c>
      <c r="W39" s="211">
        <f t="shared" ref="W39:W50" si="61">U39+$G$6</f>
        <v>4406.600888529535</v>
      </c>
      <c r="X39" s="221">
        <f t="shared" si="16"/>
        <v>-3.3233110736595871E-2</v>
      </c>
      <c r="Y39" s="67">
        <f t="shared" si="17"/>
        <v>-1.9041169852978459</v>
      </c>
      <c r="Z39" s="44">
        <f t="shared" si="47"/>
        <v>412.43190587082989</v>
      </c>
      <c r="AA39" s="305">
        <f t="shared" si="48"/>
        <v>4409.09291306055</v>
      </c>
      <c r="AB39" s="309">
        <f t="shared" si="18"/>
        <v>163.11501562500001</v>
      </c>
      <c r="AC39" s="45">
        <f t="shared" si="19"/>
        <v>161.1183770593189</v>
      </c>
      <c r="AD39" s="45">
        <f t="shared" si="56"/>
        <v>573.46131835667916</v>
      </c>
      <c r="AE39" s="36">
        <f t="shared" si="57"/>
        <v>4414.4463923676058</v>
      </c>
      <c r="AF39" s="47">
        <f t="shared" si="49"/>
        <v>333.13796599053023</v>
      </c>
      <c r="AG39" s="19">
        <f t="shared" si="50"/>
        <v>3673.0973436073937</v>
      </c>
      <c r="AH39" s="19">
        <f t="shared" si="24"/>
        <v>3688.1736672776133</v>
      </c>
      <c r="AI39" s="19">
        <f t="shared" si="33"/>
        <v>1.4803470509209673</v>
      </c>
      <c r="AJ39" s="19">
        <f t="shared" si="34"/>
        <v>84.817638232409394</v>
      </c>
      <c r="AK39" s="19">
        <f t="shared" si="25"/>
        <v>82.817638232409394</v>
      </c>
      <c r="AL39" s="19">
        <f t="shared" si="35"/>
        <v>1.4454404658810807</v>
      </c>
      <c r="AM39" s="19">
        <f t="shared" si="26"/>
        <v>461.12427597392741</v>
      </c>
      <c r="AN39" s="19">
        <f t="shared" si="58"/>
        <v>3659.2334446038722</v>
      </c>
      <c r="AO39" s="19">
        <f t="shared" si="51"/>
        <v>701.44762834007565</v>
      </c>
      <c r="AP39" s="19">
        <f t="shared" si="52"/>
        <v>4400.5824933640843</v>
      </c>
      <c r="AQ39" s="234">
        <f t="shared" si="53"/>
        <v>701.44762834007634</v>
      </c>
      <c r="AR39" s="235">
        <f t="shared" si="54"/>
        <v>4400.5824933640843</v>
      </c>
      <c r="AS39" s="319">
        <f t="shared" si="59"/>
        <v>1.5691228524916059</v>
      </c>
      <c r="AT39" s="65">
        <f t="shared" ref="AT39:AT50" si="62">90-Y39-$J$8</f>
        <v>89.904116985297847</v>
      </c>
      <c r="AU39" s="65">
        <f t="shared" ref="AU39:AU50" si="63">$J$12*COS(AS39)</f>
        <v>8.367367610960938E-2</v>
      </c>
      <c r="AV39" s="65">
        <f t="shared" ref="AV39:AV50" si="64">$J$12*SIN(AS39)</f>
        <v>49.999929987110249</v>
      </c>
      <c r="AW39" s="18">
        <f t="shared" si="40"/>
        <v>701.53130201618524</v>
      </c>
      <c r="AX39" s="24">
        <f t="shared" si="41"/>
        <v>4450.5824233511948</v>
      </c>
      <c r="BA39" s="99"/>
      <c r="BH39"/>
      <c r="BO39"/>
    </row>
    <row r="40" spans="2:67" s="11" customFormat="1" x14ac:dyDescent="0.25">
      <c r="B40" s="445"/>
      <c r="C40" s="123">
        <v>17</v>
      </c>
      <c r="D40" s="5">
        <f>VLOOKUP(INPUT!$C$4,'Vehicle &amp; Track Data'!$A$4:$AD$20,C40+1,FALSE)</f>
        <v>760</v>
      </c>
      <c r="E40" s="131">
        <f>VLOOKUP(INPUT!$C$4,'Vehicle &amp; Track Data'!$A$23:$AD$39,C40+1,FALSE)</f>
        <v>4190</v>
      </c>
      <c r="F40" s="17">
        <f t="shared" si="0"/>
        <v>1.1408382524383274</v>
      </c>
      <c r="G40" s="17">
        <f t="shared" si="1"/>
        <v>4.5481923685248934E-2</v>
      </c>
      <c r="H40" s="17">
        <f t="shared" si="2"/>
        <v>167.00940147627693</v>
      </c>
      <c r="I40" s="17">
        <f>IF(INPUT!$C$10=0,0,($G$3/2-D40)*SIN($M$4)-G40*(E40/M$3))</f>
        <v>-5.0254408547413245</v>
      </c>
      <c r="J40" s="38">
        <f t="shared" si="3"/>
        <v>591.78218448629718</v>
      </c>
      <c r="K40" s="127">
        <f t="shared" si="4"/>
        <v>4245.5725657897765</v>
      </c>
      <c r="L40" s="126"/>
      <c r="M40" s="41"/>
      <c r="N40" s="153">
        <f t="shared" si="55"/>
        <v>3.3233110736595871E-2</v>
      </c>
      <c r="O40" s="65">
        <f t="shared" si="5"/>
        <v>1.9041169852978459</v>
      </c>
      <c r="P40" s="41">
        <f t="shared" si="42"/>
        <v>-3.1677704198119723E-2</v>
      </c>
      <c r="Q40" s="41">
        <f t="shared" si="7"/>
        <v>-2.104830843728885E-4</v>
      </c>
      <c r="R40" s="122">
        <f t="shared" si="43"/>
        <v>-28.207009262581643</v>
      </c>
      <c r="S40" s="18">
        <f t="shared" si="44"/>
        <v>9.3721248704348933E-2</v>
      </c>
      <c r="T40" s="18">
        <f t="shared" si="45"/>
        <v>619.9630665001124</v>
      </c>
      <c r="U40" s="296">
        <f t="shared" si="46"/>
        <v>4236.7792951424926</v>
      </c>
      <c r="V40" s="95">
        <f t="shared" si="60"/>
        <v>644.9630665001124</v>
      </c>
      <c r="W40" s="211">
        <f t="shared" si="61"/>
        <v>4336.7792951424926</v>
      </c>
      <c r="X40" s="221">
        <f t="shared" si="16"/>
        <v>-3.3233110736595871E-2</v>
      </c>
      <c r="Y40" s="67">
        <f t="shared" si="17"/>
        <v>-1.9041169852978459</v>
      </c>
      <c r="Z40" s="44">
        <f t="shared" si="47"/>
        <v>719.92165382496012</v>
      </c>
      <c r="AA40" s="305">
        <f t="shared" si="48"/>
        <v>4339.2713196735076</v>
      </c>
      <c r="AB40" s="309">
        <f t="shared" si="18"/>
        <v>163.11501562500001</v>
      </c>
      <c r="AC40" s="45">
        <f t="shared" si="19"/>
        <v>161.1183770593189</v>
      </c>
      <c r="AD40" s="45">
        <f t="shared" si="56"/>
        <v>880.95106631080944</v>
      </c>
      <c r="AE40" s="36">
        <f t="shared" si="57"/>
        <v>4344.6247989805634</v>
      </c>
      <c r="AF40" s="47">
        <f t="shared" si="49"/>
        <v>640.62771394466051</v>
      </c>
      <c r="AG40" s="19">
        <f t="shared" si="50"/>
        <v>3603.2757502203513</v>
      </c>
      <c r="AH40" s="19">
        <f t="shared" si="24"/>
        <v>3659.7814142377406</v>
      </c>
      <c r="AI40" s="19">
        <f t="shared" si="33"/>
        <v>1.3948444989385356</v>
      </c>
      <c r="AJ40" s="19">
        <f t="shared" si="34"/>
        <v>79.918702866218126</v>
      </c>
      <c r="AK40" s="19">
        <f t="shared" si="25"/>
        <v>77.918702866218126</v>
      </c>
      <c r="AL40" s="19">
        <f t="shared" si="35"/>
        <v>1.3599379138986489</v>
      </c>
      <c r="AM40" s="19">
        <f t="shared" si="26"/>
        <v>765.98997101352325</v>
      </c>
      <c r="AN40" s="19">
        <f t="shared" si="58"/>
        <v>3578.7231472002272</v>
      </c>
      <c r="AO40" s="19">
        <f t="shared" si="51"/>
        <v>1006.3133233796727</v>
      </c>
      <c r="AP40" s="19">
        <f t="shared" si="52"/>
        <v>4320.0721959604389</v>
      </c>
      <c r="AQ40" s="234">
        <f t="shared" si="53"/>
        <v>1006.3133233796722</v>
      </c>
      <c r="AR40" s="235">
        <f t="shared" si="54"/>
        <v>4320.0721959604389</v>
      </c>
      <c r="AS40" s="319">
        <f t="shared" si="59"/>
        <v>1.5691228524916059</v>
      </c>
      <c r="AT40" s="65">
        <f t="shared" si="62"/>
        <v>89.904116985297847</v>
      </c>
      <c r="AU40" s="65">
        <f t="shared" si="63"/>
        <v>8.367367610960938E-2</v>
      </c>
      <c r="AV40" s="65">
        <f t="shared" si="64"/>
        <v>49.999929987110249</v>
      </c>
      <c r="AW40" s="18">
        <f t="shared" si="40"/>
        <v>1006.3969970557823</v>
      </c>
      <c r="AX40" s="24">
        <f t="shared" si="41"/>
        <v>4370.0721259475495</v>
      </c>
      <c r="BA40" s="99"/>
      <c r="BH40"/>
      <c r="BO40"/>
    </row>
    <row r="41" spans="2:67" s="11" customFormat="1" x14ac:dyDescent="0.25">
      <c r="B41" s="445"/>
      <c r="C41" s="123">
        <v>18</v>
      </c>
      <c r="D41" s="5">
        <f>VLOOKUP(INPUT!$C$4,'Vehicle &amp; Track Data'!$A$4:$AD$20,C41+1,FALSE)</f>
        <v>1065</v>
      </c>
      <c r="E41" s="131">
        <f>VLOOKUP(INPUT!$C$4,'Vehicle &amp; Track Data'!$A$23:$AD$39,C41+1,FALSE)</f>
        <v>4040</v>
      </c>
      <c r="F41" s="17">
        <f t="shared" si="0"/>
        <v>1.1408382524383274</v>
      </c>
      <c r="G41" s="17">
        <f t="shared" si="1"/>
        <v>4.5481923685248934E-2</v>
      </c>
      <c r="H41" s="17">
        <f t="shared" si="2"/>
        <v>160.78685721437387</v>
      </c>
      <c r="I41" s="17">
        <f>IF(INPUT!$C$10=0,0,($G$3/2-D41)*SIN($M$4)-G41*(E41/M$3))</f>
        <v>-17.065657908007232</v>
      </c>
      <c r="J41" s="38">
        <f t="shared" si="3"/>
        <v>902.51977311475957</v>
      </c>
      <c r="K41" s="127">
        <f t="shared" si="4"/>
        <v>4107.8512856135876</v>
      </c>
      <c r="L41" s="126"/>
      <c r="M41" s="41"/>
      <c r="N41" s="153">
        <f t="shared" si="55"/>
        <v>3.3233110736595871E-2</v>
      </c>
      <c r="O41" s="65">
        <f t="shared" si="5"/>
        <v>1.9041169852978459</v>
      </c>
      <c r="P41" s="41">
        <f t="shared" si="42"/>
        <v>-3.1677704198119723E-2</v>
      </c>
      <c r="Q41" s="41">
        <f t="shared" si="7"/>
        <v>-2.104830843728885E-4</v>
      </c>
      <c r="R41" s="122">
        <f t="shared" si="43"/>
        <v>-27.298777249367841</v>
      </c>
      <c r="S41" s="18">
        <f t="shared" si="44"/>
        <v>9.0681043843577031E-2</v>
      </c>
      <c r="T41" s="18">
        <f t="shared" si="45"/>
        <v>929.77870401652353</v>
      </c>
      <c r="U41" s="296">
        <f t="shared" si="46"/>
        <v>4096.9963535855923</v>
      </c>
      <c r="V41" s="95">
        <f t="shared" si="60"/>
        <v>954.77870401652353</v>
      </c>
      <c r="W41" s="211">
        <f t="shared" si="61"/>
        <v>4196.9963535855923</v>
      </c>
      <c r="X41" s="221">
        <f t="shared" si="16"/>
        <v>-3.3233110736595871E-2</v>
      </c>
      <c r="Y41" s="67">
        <f t="shared" si="17"/>
        <v>-1.9041169852978459</v>
      </c>
      <c r="Z41" s="44">
        <f t="shared" si="47"/>
        <v>1029.7372913413712</v>
      </c>
      <c r="AA41" s="305">
        <f t="shared" si="48"/>
        <v>4199.4883781166072</v>
      </c>
      <c r="AB41" s="309">
        <f t="shared" si="18"/>
        <v>163.11501562500001</v>
      </c>
      <c r="AC41" s="45">
        <f t="shared" si="19"/>
        <v>161.1183770593189</v>
      </c>
      <c r="AD41" s="45">
        <f t="shared" si="56"/>
        <v>1190.7667038272205</v>
      </c>
      <c r="AE41" s="36">
        <f t="shared" si="57"/>
        <v>4204.841857423663</v>
      </c>
      <c r="AF41" s="47">
        <f t="shared" si="49"/>
        <v>950.44335146107153</v>
      </c>
      <c r="AG41" s="19">
        <f t="shared" si="50"/>
        <v>3463.4928086634509</v>
      </c>
      <c r="AH41" s="19">
        <f t="shared" si="24"/>
        <v>3591.5351870752975</v>
      </c>
      <c r="AI41" s="19">
        <f t="shared" si="33"/>
        <v>1.3029716578966151</v>
      </c>
      <c r="AJ41" s="19">
        <f t="shared" si="34"/>
        <v>74.654776822639789</v>
      </c>
      <c r="AK41" s="19">
        <f t="shared" si="25"/>
        <v>72.654776822639789</v>
      </c>
      <c r="AL41" s="19">
        <f t="shared" si="35"/>
        <v>1.2680650728567286</v>
      </c>
      <c r="AM41" s="19">
        <f t="shared" si="26"/>
        <v>1070.738522906566</v>
      </c>
      <c r="AN41" s="19">
        <f t="shared" si="58"/>
        <v>3428.2129478146271</v>
      </c>
      <c r="AO41" s="19">
        <f t="shared" si="51"/>
        <v>1311.0618752727164</v>
      </c>
      <c r="AP41" s="19">
        <f t="shared" si="52"/>
        <v>4169.5619965748392</v>
      </c>
      <c r="AQ41" s="234">
        <f t="shared" si="53"/>
        <v>1311.061875272715</v>
      </c>
      <c r="AR41" s="235">
        <f t="shared" si="54"/>
        <v>4169.5619965748392</v>
      </c>
      <c r="AS41" s="319">
        <f t="shared" si="59"/>
        <v>1.5691228524916059</v>
      </c>
      <c r="AT41" s="65">
        <f t="shared" si="62"/>
        <v>89.904116985297847</v>
      </c>
      <c r="AU41" s="65">
        <f t="shared" si="63"/>
        <v>8.367367610960938E-2</v>
      </c>
      <c r="AV41" s="65">
        <f t="shared" si="64"/>
        <v>49.999929987110249</v>
      </c>
      <c r="AW41" s="18">
        <f t="shared" si="40"/>
        <v>1311.145548948826</v>
      </c>
      <c r="AX41" s="24">
        <f t="shared" si="41"/>
        <v>4219.5619265619498</v>
      </c>
      <c r="BA41" s="99"/>
      <c r="BH41"/>
      <c r="BO41"/>
    </row>
    <row r="42" spans="2:67" s="11" customFormat="1" x14ac:dyDescent="0.25">
      <c r="B42" s="445"/>
      <c r="C42" s="123">
        <v>19</v>
      </c>
      <c r="D42" s="5">
        <f>VLOOKUP(INPUT!$C$4,'Vehicle &amp; Track Data'!$A$4:$AD$20,C42+1,FALSE)</f>
        <v>1250</v>
      </c>
      <c r="E42" s="131">
        <f>VLOOKUP(INPUT!$C$4,'Vehicle &amp; Track Data'!$A$23:$AD$39,C42+1,FALSE)</f>
        <v>3916</v>
      </c>
      <c r="F42" s="17">
        <f t="shared" si="0"/>
        <v>1.1408382524383274</v>
      </c>
      <c r="G42" s="17">
        <f t="shared" si="1"/>
        <v>4.5481923685248934E-2</v>
      </c>
      <c r="H42" s="17">
        <f t="shared" si="2"/>
        <v>155.69625891118699</v>
      </c>
      <c r="I42" s="17">
        <f>IF(INPUT!$C$10=0,0,($G$3/2-D42)*SIN($M$4)-G42*(E42/M$3))</f>
        <v>-24.342492045240821</v>
      </c>
      <c r="J42" s="38">
        <f t="shared" si="3"/>
        <v>1092.3162180009415</v>
      </c>
      <c r="K42" s="127">
        <f t="shared" si="4"/>
        <v>3991.3252820411381</v>
      </c>
      <c r="L42" s="126"/>
      <c r="M42" s="41"/>
      <c r="N42" s="153">
        <f t="shared" si="55"/>
        <v>3.3233110736595871E-2</v>
      </c>
      <c r="O42" s="65">
        <f t="shared" si="5"/>
        <v>1.9041169852978459</v>
      </c>
      <c r="P42" s="41">
        <f t="shared" si="42"/>
        <v>-3.1677704198119723E-2</v>
      </c>
      <c r="Q42" s="41">
        <f t="shared" si="7"/>
        <v>-2.104830843728885E-4</v>
      </c>
      <c r="R42" s="122">
        <f t="shared" si="43"/>
        <v>-26.528707856413799</v>
      </c>
      <c r="S42" s="18">
        <f t="shared" si="44"/>
        <v>8.8108725883606923E-2</v>
      </c>
      <c r="T42" s="18">
        <f t="shared" si="45"/>
        <v>1118.79669997576</v>
      </c>
      <c r="U42" s="296">
        <f t="shared" si="46"/>
        <v>3979.2118163850155</v>
      </c>
      <c r="V42" s="95">
        <f t="shared" si="60"/>
        <v>1143.79669997576</v>
      </c>
      <c r="W42" s="211">
        <f t="shared" si="61"/>
        <v>4079.2118163850155</v>
      </c>
      <c r="X42" s="221">
        <f t="shared" si="16"/>
        <v>-3.3233110736595871E-2</v>
      </c>
      <c r="Y42" s="67">
        <f t="shared" si="17"/>
        <v>-1.9041169852978459</v>
      </c>
      <c r="Z42" s="44">
        <f t="shared" si="47"/>
        <v>1218.7552873006077</v>
      </c>
      <c r="AA42" s="305">
        <f t="shared" si="48"/>
        <v>4081.7038409160309</v>
      </c>
      <c r="AB42" s="309">
        <f t="shared" si="18"/>
        <v>163.11501562500001</v>
      </c>
      <c r="AC42" s="45">
        <f t="shared" si="19"/>
        <v>161.1183770593189</v>
      </c>
      <c r="AD42" s="45">
        <f t="shared" si="56"/>
        <v>1379.7846997864569</v>
      </c>
      <c r="AE42" s="36">
        <f t="shared" si="57"/>
        <v>4087.0573202230867</v>
      </c>
      <c r="AF42" s="47">
        <f t="shared" si="49"/>
        <v>1139.4613474203079</v>
      </c>
      <c r="AG42" s="19">
        <f t="shared" si="50"/>
        <v>3345.7082714628746</v>
      </c>
      <c r="AH42" s="19">
        <f t="shared" si="24"/>
        <v>3534.4215934152508</v>
      </c>
      <c r="AI42" s="19">
        <f t="shared" si="33"/>
        <v>1.2425433623182205</v>
      </c>
      <c r="AJ42" s="19">
        <f t="shared" si="34"/>
        <v>71.19249052282872</v>
      </c>
      <c r="AK42" s="19">
        <f t="shared" si="25"/>
        <v>69.19249052282872</v>
      </c>
      <c r="AL42" s="19">
        <f t="shared" si="35"/>
        <v>1.2076367772783339</v>
      </c>
      <c r="AM42" s="19">
        <f t="shared" si="26"/>
        <v>1255.530753142124</v>
      </c>
      <c r="AN42" s="19">
        <f t="shared" si="58"/>
        <v>3303.9035288449891</v>
      </c>
      <c r="AO42" s="19">
        <f t="shared" si="51"/>
        <v>1495.8541055082726</v>
      </c>
      <c r="AP42" s="19">
        <f t="shared" si="52"/>
        <v>4045.2525776052012</v>
      </c>
      <c r="AQ42" s="234">
        <f t="shared" si="53"/>
        <v>1495.8541055082731</v>
      </c>
      <c r="AR42" s="235">
        <f t="shared" si="54"/>
        <v>4045.2525776052012</v>
      </c>
      <c r="AS42" s="319">
        <f t="shared" si="59"/>
        <v>1.5691228524916059</v>
      </c>
      <c r="AT42" s="65">
        <f t="shared" si="62"/>
        <v>89.904116985297847</v>
      </c>
      <c r="AU42" s="65">
        <f t="shared" si="63"/>
        <v>8.367367610960938E-2</v>
      </c>
      <c r="AV42" s="65">
        <f t="shared" si="64"/>
        <v>49.999929987110249</v>
      </c>
      <c r="AW42" s="18">
        <f t="shared" si="40"/>
        <v>1495.9377791843822</v>
      </c>
      <c r="AX42" s="24">
        <f t="shared" si="41"/>
        <v>4095.2525075923113</v>
      </c>
      <c r="BA42" s="99"/>
      <c r="BH42"/>
      <c r="BO42"/>
    </row>
    <row r="43" spans="2:67" s="11" customFormat="1" x14ac:dyDescent="0.25">
      <c r="B43" s="445"/>
      <c r="C43" s="123">
        <v>20</v>
      </c>
      <c r="D43" s="5">
        <f>VLOOKUP(INPUT!$C$4,'Vehicle &amp; Track Data'!$A$4:$AD$20,C43+1,FALSE)</f>
        <v>1485</v>
      </c>
      <c r="E43" s="131">
        <f>VLOOKUP(INPUT!$C$4,'Vehicle &amp; Track Data'!$A$23:$AD$39,C43+1,FALSE)</f>
        <v>3580</v>
      </c>
      <c r="F43" s="17">
        <f t="shared" si="0"/>
        <v>1.1408382524383274</v>
      </c>
      <c r="G43" s="17">
        <f t="shared" si="1"/>
        <v>4.5481923685248934E-2</v>
      </c>
      <c r="H43" s="17">
        <f t="shared" si="2"/>
        <v>142.11408290371773</v>
      </c>
      <c r="I43" s="17">
        <f>IF(INPUT!$C$10=0,0,($G$3/2-D43)*SIN($M$4)-G43*(E43/M$3))</f>
        <v>-33.444139706350477</v>
      </c>
      <c r="J43" s="38">
        <f t="shared" si="3"/>
        <v>1340.5247396678908</v>
      </c>
      <c r="K43" s="127">
        <f t="shared" si="4"/>
        <v>3664.9611759082677</v>
      </c>
      <c r="L43" s="126"/>
      <c r="M43" s="41"/>
      <c r="N43" s="153">
        <f t="shared" si="55"/>
        <v>3.3233110736595871E-2</v>
      </c>
      <c r="O43" s="65">
        <f t="shared" si="5"/>
        <v>1.9041169852978459</v>
      </c>
      <c r="P43" s="41">
        <f t="shared" si="42"/>
        <v>-3.1677704198119723E-2</v>
      </c>
      <c r="Q43" s="41">
        <f t="shared" si="7"/>
        <v>-2.104830843728885E-4</v>
      </c>
      <c r="R43" s="122">
        <f t="shared" si="43"/>
        <v>-24.36565480656472</v>
      </c>
      <c r="S43" s="18">
        <f t="shared" si="44"/>
        <v>8.0904220228581972E-2</v>
      </c>
      <c r="T43" s="18">
        <f t="shared" si="45"/>
        <v>1364.831210159231</v>
      </c>
      <c r="U43" s="296">
        <f t="shared" si="46"/>
        <v>3651.2056887002127</v>
      </c>
      <c r="V43" s="95">
        <f t="shared" si="60"/>
        <v>1389.831210159231</v>
      </c>
      <c r="W43" s="211">
        <f t="shared" si="61"/>
        <v>3751.2056887002127</v>
      </c>
      <c r="X43" s="221">
        <f t="shared" si="16"/>
        <v>-3.3233110736595871E-2</v>
      </c>
      <c r="Y43" s="67">
        <f t="shared" si="17"/>
        <v>-1.9041169852978459</v>
      </c>
      <c r="Z43" s="44">
        <f t="shared" si="47"/>
        <v>1464.7897974840787</v>
      </c>
      <c r="AA43" s="305">
        <f t="shared" si="48"/>
        <v>3753.6977132312281</v>
      </c>
      <c r="AB43" s="309">
        <f t="shared" si="18"/>
        <v>163.11501562500001</v>
      </c>
      <c r="AC43" s="45">
        <f t="shared" si="19"/>
        <v>161.1183770593189</v>
      </c>
      <c r="AD43" s="45">
        <f t="shared" si="56"/>
        <v>1625.8192099699279</v>
      </c>
      <c r="AE43" s="36">
        <f t="shared" si="57"/>
        <v>3759.0511925382839</v>
      </c>
      <c r="AF43" s="47">
        <f t="shared" si="49"/>
        <v>1385.4958576037789</v>
      </c>
      <c r="AG43" s="19">
        <f t="shared" si="50"/>
        <v>3017.7021437780718</v>
      </c>
      <c r="AH43" s="19">
        <f t="shared" si="24"/>
        <v>3320.560946587188</v>
      </c>
      <c r="AI43" s="19">
        <f t="shared" si="33"/>
        <v>1.1403818285306861</v>
      </c>
      <c r="AJ43" s="19">
        <f t="shared" si="34"/>
        <v>65.339065808219843</v>
      </c>
      <c r="AK43" s="19">
        <f t="shared" si="25"/>
        <v>63.339065808219843</v>
      </c>
      <c r="AL43" s="19">
        <f t="shared" si="35"/>
        <v>1.1054752434907995</v>
      </c>
      <c r="AM43" s="19">
        <f t="shared" si="26"/>
        <v>1489.968136978086</v>
      </c>
      <c r="AN43" s="19">
        <f t="shared" si="58"/>
        <v>2967.5107330538931</v>
      </c>
      <c r="AO43" s="19">
        <f t="shared" si="51"/>
        <v>1730.2914893442339</v>
      </c>
      <c r="AP43" s="19">
        <f t="shared" si="52"/>
        <v>3708.8597818141052</v>
      </c>
      <c r="AQ43" s="234">
        <f t="shared" si="53"/>
        <v>1730.2914893442351</v>
      </c>
      <c r="AR43" s="235">
        <f t="shared" si="54"/>
        <v>3708.8597818141052</v>
      </c>
      <c r="AS43" s="319">
        <f t="shared" si="59"/>
        <v>1.5691228524916059</v>
      </c>
      <c r="AT43" s="65">
        <f t="shared" si="62"/>
        <v>89.904116985297847</v>
      </c>
      <c r="AU43" s="65">
        <f t="shared" si="63"/>
        <v>8.367367610960938E-2</v>
      </c>
      <c r="AV43" s="65">
        <f t="shared" si="64"/>
        <v>49.999929987110249</v>
      </c>
      <c r="AW43" s="18">
        <f t="shared" si="40"/>
        <v>1730.3751630203435</v>
      </c>
      <c r="AX43" s="24">
        <f t="shared" si="41"/>
        <v>3758.8597118012153</v>
      </c>
      <c r="BA43" s="99"/>
      <c r="BH43"/>
      <c r="BO43"/>
    </row>
    <row r="44" spans="2:67" s="11" customFormat="1" x14ac:dyDescent="0.25">
      <c r="B44" s="445"/>
      <c r="C44" s="123">
        <v>21</v>
      </c>
      <c r="D44" s="5">
        <f>VLOOKUP(INPUT!$C$4,'Vehicle &amp; Track Data'!$A$4:$AD$20,C44+1,FALSE)</f>
        <v>1485</v>
      </c>
      <c r="E44" s="131">
        <f>VLOOKUP(INPUT!$C$4,'Vehicle &amp; Track Data'!$A$23:$AD$39,C44+1,FALSE)</f>
        <v>1120</v>
      </c>
      <c r="F44" s="17">
        <f t="shared" si="0"/>
        <v>1.1408382524383274</v>
      </c>
      <c r="G44" s="17">
        <f t="shared" si="1"/>
        <v>4.5481923685248934E-2</v>
      </c>
      <c r="H44" s="17">
        <f t="shared" si="2"/>
        <v>44.040993202721069</v>
      </c>
      <c r="I44" s="17">
        <f>IF(INPUT!$C$10=0,0,($G$3/2-D44)*SIN($M$4)-G44*(E44/M$3))</f>
        <v>-31.488416987884772</v>
      </c>
      <c r="J44" s="38">
        <f t="shared" si="3"/>
        <v>1438.5978293688875</v>
      </c>
      <c r="K44" s="127">
        <f t="shared" si="4"/>
        <v>1206.9168986267332</v>
      </c>
      <c r="L44" s="126"/>
      <c r="M44" s="41"/>
      <c r="N44" s="153">
        <f t="shared" si="55"/>
        <v>3.3233110736595871E-2</v>
      </c>
      <c r="O44" s="65">
        <f t="shared" si="5"/>
        <v>1.9041169852978459</v>
      </c>
      <c r="P44" s="41">
        <f t="shared" si="42"/>
        <v>-3.1677704198119723E-2</v>
      </c>
      <c r="Q44" s="41">
        <f t="shared" si="7"/>
        <v>-2.104830843728885E-4</v>
      </c>
      <c r="R44" s="122">
        <f t="shared" si="43"/>
        <v>-8.0352996606050837</v>
      </c>
      <c r="S44" s="18">
        <f t="shared" si="44"/>
        <v>2.6642757147323833E-2</v>
      </c>
      <c r="T44" s="18">
        <f t="shared" si="45"/>
        <v>1446.5696147765327</v>
      </c>
      <c r="U44" s="296">
        <f t="shared" si="46"/>
        <v>1192.5640244452079</v>
      </c>
      <c r="V44" s="95">
        <f t="shared" si="60"/>
        <v>1471.5696147765327</v>
      </c>
      <c r="W44" s="211">
        <f t="shared" si="61"/>
        <v>1292.5640244452079</v>
      </c>
      <c r="X44" s="221">
        <f t="shared" si="16"/>
        <v>-3.3233110736595871E-2</v>
      </c>
      <c r="Y44" s="67">
        <f t="shared" si="17"/>
        <v>-1.9041169852978459</v>
      </c>
      <c r="Z44" s="44">
        <f t="shared" si="47"/>
        <v>1546.5282021013804</v>
      </c>
      <c r="AA44" s="305">
        <f t="shared" si="48"/>
        <v>1295.0560489762231</v>
      </c>
      <c r="AB44" s="309">
        <f t="shared" si="18"/>
        <v>163.11501562500001</v>
      </c>
      <c r="AC44" s="45">
        <f t="shared" si="19"/>
        <v>161.1183770593189</v>
      </c>
      <c r="AD44" s="45">
        <f t="shared" si="56"/>
        <v>1707.5576145872296</v>
      </c>
      <c r="AE44" s="36">
        <f t="shared" si="57"/>
        <v>1300.4095282832791</v>
      </c>
      <c r="AF44" s="47">
        <f t="shared" si="49"/>
        <v>1467.2342622210806</v>
      </c>
      <c r="AG44" s="19">
        <f t="shared" si="50"/>
        <v>559.0604795230671</v>
      </c>
      <c r="AH44" s="19">
        <f t="shared" si="24"/>
        <v>1570.1353444846723</v>
      </c>
      <c r="AI44" s="19">
        <f t="shared" si="33"/>
        <v>0.36404686107894635</v>
      </c>
      <c r="AJ44" s="19">
        <f t="shared" si="34"/>
        <v>20.85834868480902</v>
      </c>
      <c r="AK44" s="19">
        <f t="shared" si="25"/>
        <v>18.85834868480902</v>
      </c>
      <c r="AL44" s="19">
        <f t="shared" si="35"/>
        <v>0.32914027603905976</v>
      </c>
      <c r="AM44" s="19">
        <f t="shared" si="26"/>
        <v>1485.8513921134925</v>
      </c>
      <c r="AN44" s="19">
        <f t="shared" si="58"/>
        <v>507.51417768806925</v>
      </c>
      <c r="AO44" s="19">
        <f t="shared" si="51"/>
        <v>1726.1747444796415</v>
      </c>
      <c r="AP44" s="19">
        <f t="shared" si="52"/>
        <v>1248.8632264482812</v>
      </c>
      <c r="AQ44" s="234">
        <f t="shared" si="53"/>
        <v>1726.1747444796415</v>
      </c>
      <c r="AR44" s="235">
        <f t="shared" si="54"/>
        <v>1248.8632264482812</v>
      </c>
      <c r="AS44" s="319">
        <f t="shared" si="59"/>
        <v>1.5691228524916059</v>
      </c>
      <c r="AT44" s="65">
        <f t="shared" si="62"/>
        <v>89.904116985297847</v>
      </c>
      <c r="AU44" s="65">
        <f t="shared" si="63"/>
        <v>8.367367610960938E-2</v>
      </c>
      <c r="AV44" s="65">
        <f t="shared" si="64"/>
        <v>49.999929987110249</v>
      </c>
      <c r="AW44" s="18">
        <f t="shared" si="40"/>
        <v>1726.2584181557511</v>
      </c>
      <c r="AX44" s="24">
        <f t="shared" si="41"/>
        <v>1298.8631564353914</v>
      </c>
      <c r="BA44" s="99"/>
      <c r="BH44"/>
      <c r="BO44"/>
    </row>
    <row r="45" spans="2:67" s="11" customFormat="1" x14ac:dyDescent="0.25">
      <c r="B45" s="445"/>
      <c r="C45" s="123">
        <v>22</v>
      </c>
      <c r="D45" s="5">
        <f>VLOOKUP(INPUT!$C$4,'Vehicle &amp; Track Data'!$A$4:$AD$20,C45+1,FALSE)</f>
        <v>1450</v>
      </c>
      <c r="E45" s="131">
        <f>VLOOKUP(INPUT!$C$4,'Vehicle &amp; Track Data'!$A$23:$AD$39,C45+1,FALSE)</f>
        <v>1120</v>
      </c>
      <c r="F45" s="17">
        <f t="shared" si="0"/>
        <v>1.1408382524383274</v>
      </c>
      <c r="G45" s="17">
        <f t="shared" si="1"/>
        <v>4.5481923685248934E-2</v>
      </c>
      <c r="H45" s="17">
        <f t="shared" si="2"/>
        <v>44.068818525951272</v>
      </c>
      <c r="I45" s="17">
        <f>IF(INPUT!$C$10=0,0,($G$3/2-D45)*SIN($M$4)-G45*(E45/M$3))</f>
        <v>-30.093068150675467</v>
      </c>
      <c r="J45" s="38">
        <f t="shared" si="3"/>
        <v>1403.6256546921175</v>
      </c>
      <c r="K45" s="127">
        <f t="shared" si="4"/>
        <v>1205.5215497895238</v>
      </c>
      <c r="L45" s="126"/>
      <c r="M45" s="41"/>
      <c r="N45" s="153">
        <f t="shared" si="55"/>
        <v>3.3233110736595871E-2</v>
      </c>
      <c r="O45" s="65">
        <f t="shared" si="5"/>
        <v>1.9041169852978459</v>
      </c>
      <c r="P45" s="41">
        <f t="shared" si="42"/>
        <v>-3.1677704198119723E-2</v>
      </c>
      <c r="Q45" s="41">
        <f t="shared" si="7"/>
        <v>-2.104830843728885E-4</v>
      </c>
      <c r="R45" s="122">
        <f t="shared" si="43"/>
        <v>-8.0252562270737222</v>
      </c>
      <c r="S45" s="18">
        <f t="shared" si="44"/>
        <v>2.6611954744732678E-2</v>
      </c>
      <c r="T45" s="18">
        <f t="shared" si="45"/>
        <v>1411.5889406916035</v>
      </c>
      <c r="U45" s="296">
        <f t="shared" si="46"/>
        <v>1191.4010796640673</v>
      </c>
      <c r="V45" s="95">
        <f t="shared" si="60"/>
        <v>1436.5889406916035</v>
      </c>
      <c r="W45" s="211">
        <f t="shared" si="61"/>
        <v>1291.4010796640673</v>
      </c>
      <c r="X45" s="221">
        <f t="shared" si="16"/>
        <v>-3.3233110736595871E-2</v>
      </c>
      <c r="Y45" s="67">
        <f t="shared" si="17"/>
        <v>-1.9041169852978459</v>
      </c>
      <c r="Z45" s="44">
        <f t="shared" si="47"/>
        <v>1511.5475280164512</v>
      </c>
      <c r="AA45" s="305">
        <f t="shared" si="48"/>
        <v>1293.8931041950825</v>
      </c>
      <c r="AB45" s="309">
        <f t="shared" si="18"/>
        <v>163.11501562500001</v>
      </c>
      <c r="AC45" s="45">
        <f t="shared" si="19"/>
        <v>161.1183770593189</v>
      </c>
      <c r="AD45" s="45">
        <f t="shared" si="56"/>
        <v>1672.5769405023004</v>
      </c>
      <c r="AE45" s="36">
        <f t="shared" si="57"/>
        <v>1299.2465835021385</v>
      </c>
      <c r="AF45" s="47">
        <f t="shared" si="49"/>
        <v>1432.2535881361514</v>
      </c>
      <c r="AG45" s="19">
        <f t="shared" si="50"/>
        <v>557.89753474192651</v>
      </c>
      <c r="AH45" s="19">
        <f t="shared" si="24"/>
        <v>1537.0751445521457</v>
      </c>
      <c r="AI45" s="19">
        <f t="shared" si="33"/>
        <v>0.37144308396801767</v>
      </c>
      <c r="AJ45" s="19">
        <f t="shared" si="34"/>
        <v>21.282121040690864</v>
      </c>
      <c r="AK45" s="19">
        <f t="shared" si="25"/>
        <v>19.282121040690864</v>
      </c>
      <c r="AL45" s="19">
        <f t="shared" si="35"/>
        <v>0.33653649892813109</v>
      </c>
      <c r="AM45" s="19">
        <f t="shared" si="26"/>
        <v>1450.8514411225151</v>
      </c>
      <c r="AN45" s="19">
        <f t="shared" si="58"/>
        <v>507.57274926134579</v>
      </c>
      <c r="AO45" s="19">
        <f t="shared" si="51"/>
        <v>1691.1747934886639</v>
      </c>
      <c r="AP45" s="19">
        <f t="shared" si="52"/>
        <v>1248.9217980215578</v>
      </c>
      <c r="AQ45" s="234">
        <f t="shared" si="53"/>
        <v>1691.1747934886641</v>
      </c>
      <c r="AR45" s="235">
        <f t="shared" si="54"/>
        <v>1248.9217980215578</v>
      </c>
      <c r="AS45" s="319">
        <f t="shared" si="59"/>
        <v>1.5691228524916059</v>
      </c>
      <c r="AT45" s="65">
        <f t="shared" si="62"/>
        <v>89.904116985297847</v>
      </c>
      <c r="AU45" s="65">
        <f t="shared" si="63"/>
        <v>8.367367610960938E-2</v>
      </c>
      <c r="AV45" s="65">
        <f t="shared" si="64"/>
        <v>49.999929987110249</v>
      </c>
      <c r="AW45" s="18">
        <f t="shared" si="40"/>
        <v>1691.2584671647735</v>
      </c>
      <c r="AX45" s="24">
        <f t="shared" si="41"/>
        <v>1298.9217280086682</v>
      </c>
      <c r="BA45" s="99"/>
      <c r="BH45"/>
      <c r="BO45"/>
    </row>
    <row r="46" spans="2:67" s="11" customFormat="1" x14ac:dyDescent="0.25">
      <c r="B46" s="445"/>
      <c r="C46" s="123">
        <v>23</v>
      </c>
      <c r="D46" s="5">
        <f>VLOOKUP(INPUT!$C$4,'Vehicle &amp; Track Data'!$A$4:$AD$20,C46+1,FALSE)</f>
        <v>1450</v>
      </c>
      <c r="E46" s="131">
        <f>VLOOKUP(INPUT!$C$4,'Vehicle &amp; Track Data'!$A$23:$AD$39,C46+1,FALSE)</f>
        <v>345</v>
      </c>
      <c r="F46" s="17">
        <f t="shared" si="0"/>
        <v>1.1408382524383274</v>
      </c>
      <c r="G46" s="17">
        <f t="shared" si="1"/>
        <v>4.5481923685248934E-2</v>
      </c>
      <c r="H46" s="17">
        <f t="shared" si="2"/>
        <v>13.171808559173872</v>
      </c>
      <c r="I46" s="17">
        <f>IF(INPUT!$C$10=0,0,($G$3/2-D46)*SIN($M$4)-G46*(E46/M$3))</f>
        <v>-29.476935993435255</v>
      </c>
      <c r="J46" s="38">
        <f t="shared" si="3"/>
        <v>1434.5226646588949</v>
      </c>
      <c r="K46" s="127">
        <f t="shared" si="4"/>
        <v>431.13768194676413</v>
      </c>
      <c r="L46" s="126"/>
      <c r="M46" s="41"/>
      <c r="N46" s="153">
        <f t="shared" si="55"/>
        <v>3.3233110736595871E-2</v>
      </c>
      <c r="O46" s="65">
        <f t="shared" si="5"/>
        <v>1.9041169852978459</v>
      </c>
      <c r="P46" s="41">
        <f t="shared" si="42"/>
        <v>-3.1677704198119723E-2</v>
      </c>
      <c r="Q46" s="41">
        <f t="shared" si="7"/>
        <v>-2.104830843728885E-4</v>
      </c>
      <c r="R46" s="122">
        <f t="shared" si="43"/>
        <v>-2.8805305205214</v>
      </c>
      <c r="S46" s="18">
        <f t="shared" si="44"/>
        <v>9.5173881236046108E-3</v>
      </c>
      <c r="T46" s="18">
        <f t="shared" si="45"/>
        <v>1437.3398608454279</v>
      </c>
      <c r="U46" s="296">
        <f t="shared" si="46"/>
        <v>416.82901064064117</v>
      </c>
      <c r="V46" s="95">
        <f t="shared" si="60"/>
        <v>1462.3398608454279</v>
      </c>
      <c r="W46" s="211">
        <f t="shared" si="61"/>
        <v>516.82901064064117</v>
      </c>
      <c r="X46" s="221">
        <f t="shared" si="16"/>
        <v>-3.3233110736595871E-2</v>
      </c>
      <c r="Y46" s="67">
        <f t="shared" si="17"/>
        <v>-1.9041169852978459</v>
      </c>
      <c r="Z46" s="44">
        <f t="shared" si="47"/>
        <v>1537.2984481702756</v>
      </c>
      <c r="AA46" s="305">
        <f t="shared" si="48"/>
        <v>519.32103517165649</v>
      </c>
      <c r="AB46" s="309">
        <f t="shared" si="18"/>
        <v>163.11501562500001</v>
      </c>
      <c r="AC46" s="45">
        <f t="shared" si="19"/>
        <v>161.1183770593189</v>
      </c>
      <c r="AD46" s="45">
        <f t="shared" si="56"/>
        <v>1698.3278606561248</v>
      </c>
      <c r="AE46" s="36">
        <f t="shared" si="57"/>
        <v>524.67451447871235</v>
      </c>
      <c r="AF46" s="47">
        <f t="shared" si="49"/>
        <v>1458.0045082899758</v>
      </c>
      <c r="AG46" s="19">
        <f t="shared" si="50"/>
        <v>-216.67453428149963</v>
      </c>
      <c r="AH46" s="19">
        <f t="shared" si="24"/>
        <v>1474.0166213445489</v>
      </c>
      <c r="AI46" s="19">
        <f t="shared" si="33"/>
        <v>-0.14753058297928864</v>
      </c>
      <c r="AJ46" s="19">
        <f t="shared" si="34"/>
        <v>-8.4528797538178182</v>
      </c>
      <c r="AK46" s="19">
        <f t="shared" si="25"/>
        <v>-10.452879753817818</v>
      </c>
      <c r="AL46" s="19">
        <f t="shared" si="35"/>
        <v>-0.18243716801917526</v>
      </c>
      <c r="AM46" s="19">
        <f t="shared" si="26"/>
        <v>1449.554499142816</v>
      </c>
      <c r="AN46" s="19">
        <f t="shared" si="58"/>
        <v>-267.4261655388629</v>
      </c>
      <c r="AO46" s="19">
        <f t="shared" si="51"/>
        <v>1689.8778515089648</v>
      </c>
      <c r="AP46" s="19">
        <f t="shared" si="52"/>
        <v>473.92288322134914</v>
      </c>
      <c r="AQ46" s="234">
        <f t="shared" si="53"/>
        <v>1689.877851508965</v>
      </c>
      <c r="AR46" s="235">
        <f t="shared" si="54"/>
        <v>473.92288322134908</v>
      </c>
      <c r="AS46" s="319">
        <f t="shared" si="59"/>
        <v>1.5691228524916059</v>
      </c>
      <c r="AT46" s="65">
        <f t="shared" si="62"/>
        <v>89.904116985297847</v>
      </c>
      <c r="AU46" s="65">
        <f t="shared" si="63"/>
        <v>8.367367610960938E-2</v>
      </c>
      <c r="AV46" s="65">
        <f t="shared" si="64"/>
        <v>49.999929987110249</v>
      </c>
      <c r="AW46" s="18">
        <f t="shared" si="40"/>
        <v>1689.9615251850744</v>
      </c>
      <c r="AX46" s="24">
        <f t="shared" si="41"/>
        <v>523.92281320845939</v>
      </c>
      <c r="BA46" s="99"/>
      <c r="BH46"/>
      <c r="BO46"/>
    </row>
    <row r="47" spans="2:67" s="11" customFormat="1" x14ac:dyDescent="0.25">
      <c r="B47" s="445"/>
      <c r="C47" s="123">
        <v>24</v>
      </c>
      <c r="D47" s="5">
        <f>VLOOKUP(INPUT!$C$4,'Vehicle &amp; Track Data'!$A$4:$AD$20,C47+1,FALSE)</f>
        <v>1220</v>
      </c>
      <c r="E47" s="131">
        <f>VLOOKUP(INPUT!$C$4,'Vehicle &amp; Track Data'!$A$23:$AD$39,C47+1,FALSE)</f>
        <v>152</v>
      </c>
      <c r="F47" s="17">
        <f t="shared" si="0"/>
        <v>1.1408382524383274</v>
      </c>
      <c r="G47" s="17">
        <f t="shared" si="1"/>
        <v>4.5481923685248934E-2</v>
      </c>
      <c r="H47" s="17">
        <f t="shared" si="2"/>
        <v>5.6603085237896256</v>
      </c>
      <c r="I47" s="17">
        <f>IF(INPUT!$C$10=0,0,($G$3/2-D47)*SIN($M$4)-G47*(E47/M$3))</f>
        <v>-20.154063995104721</v>
      </c>
      <c r="J47" s="38">
        <f t="shared" si="3"/>
        <v>1212.3998689424477</v>
      </c>
      <c r="K47" s="127">
        <f t="shared" si="4"/>
        <v>229.12168351320094</v>
      </c>
      <c r="L47" s="126"/>
      <c r="M47" s="41"/>
      <c r="N47" s="153">
        <f t="shared" si="55"/>
        <v>3.3233110736595871E-2</v>
      </c>
      <c r="O47" s="65">
        <f t="shared" si="5"/>
        <v>1.9041169852978459</v>
      </c>
      <c r="P47" s="41">
        <f t="shared" si="42"/>
        <v>-3.1677704198119723E-2</v>
      </c>
      <c r="Q47" s="41">
        <f t="shared" si="7"/>
        <v>-2.104830843728885E-4</v>
      </c>
      <c r="R47" s="122">
        <f t="shared" si="43"/>
        <v>-1.5333281546328887</v>
      </c>
      <c r="S47" s="18">
        <f t="shared" si="44"/>
        <v>5.0578738088546231E-3</v>
      </c>
      <c r="T47" s="18">
        <f t="shared" si="45"/>
        <v>1213.8796695090414</v>
      </c>
      <c r="U47" s="296">
        <f t="shared" si="46"/>
        <v>216.29337069625291</v>
      </c>
      <c r="V47" s="95">
        <f t="shared" si="60"/>
        <v>1238.8796695090414</v>
      </c>
      <c r="W47" s="211">
        <f t="shared" si="61"/>
        <v>316.29337069625291</v>
      </c>
      <c r="X47" s="221">
        <f t="shared" si="16"/>
        <v>-3.3233110736595871E-2</v>
      </c>
      <c r="Y47" s="67">
        <f t="shared" si="17"/>
        <v>-1.9041169852978459</v>
      </c>
      <c r="Z47" s="44">
        <f t="shared" si="47"/>
        <v>1313.8382568338891</v>
      </c>
      <c r="AA47" s="305">
        <f t="shared" si="48"/>
        <v>318.78539522726817</v>
      </c>
      <c r="AB47" s="309">
        <f t="shared" si="18"/>
        <v>163.11501562500001</v>
      </c>
      <c r="AC47" s="45">
        <f t="shared" si="19"/>
        <v>161.1183770593189</v>
      </c>
      <c r="AD47" s="45">
        <f t="shared" si="56"/>
        <v>1474.8676693197383</v>
      </c>
      <c r="AE47" s="36">
        <f t="shared" si="57"/>
        <v>324.13887453432409</v>
      </c>
      <c r="AF47" s="47">
        <f t="shared" si="49"/>
        <v>1234.5443169535893</v>
      </c>
      <c r="AG47" s="19">
        <f t="shared" si="50"/>
        <v>-417.2101742258879</v>
      </c>
      <c r="AH47" s="19">
        <f t="shared" si="24"/>
        <v>1303.1362169781023</v>
      </c>
      <c r="AI47" s="19">
        <f t="shared" si="33"/>
        <v>-0.32589681944307547</v>
      </c>
      <c r="AJ47" s="19">
        <f t="shared" si="34"/>
        <v>-18.672512310825251</v>
      </c>
      <c r="AK47" s="19">
        <f t="shared" si="25"/>
        <v>-20.672512310825251</v>
      </c>
      <c r="AL47" s="19">
        <f t="shared" si="35"/>
        <v>-0.36080340448296205</v>
      </c>
      <c r="AM47" s="19">
        <f t="shared" si="26"/>
        <v>1219.231840812326</v>
      </c>
      <c r="AN47" s="19">
        <f t="shared" si="58"/>
        <v>-460.04099637900424</v>
      </c>
      <c r="AO47" s="19">
        <f t="shared" si="51"/>
        <v>1459.5551931784751</v>
      </c>
      <c r="AP47" s="19">
        <f t="shared" si="52"/>
        <v>281.30805238120769</v>
      </c>
      <c r="AQ47" s="234">
        <f t="shared" si="53"/>
        <v>1459.5551931784751</v>
      </c>
      <c r="AR47" s="235">
        <f t="shared" si="54"/>
        <v>281.30805238120774</v>
      </c>
      <c r="AS47" s="319">
        <f t="shared" si="59"/>
        <v>1.5691228524916059</v>
      </c>
      <c r="AT47" s="65">
        <f t="shared" si="62"/>
        <v>89.904116985297847</v>
      </c>
      <c r="AU47" s="65">
        <f t="shared" si="63"/>
        <v>8.367367610960938E-2</v>
      </c>
      <c r="AV47" s="65">
        <f t="shared" si="64"/>
        <v>49.999929987110249</v>
      </c>
      <c r="AW47" s="18">
        <f t="shared" si="40"/>
        <v>1459.6388668545846</v>
      </c>
      <c r="AX47" s="24">
        <f t="shared" si="41"/>
        <v>331.30798236831794</v>
      </c>
      <c r="BA47" s="99"/>
      <c r="BH47"/>
      <c r="BO47"/>
    </row>
    <row r="48" spans="2:67" s="11" customFormat="1" x14ac:dyDescent="0.25">
      <c r="B48" s="445"/>
      <c r="C48" s="123">
        <v>25</v>
      </c>
      <c r="D48" s="5">
        <f>VLOOKUP(INPUT!$C$4,'Vehicle &amp; Track Data'!$A$4:$AD$20,C48+1,FALSE)</f>
        <v>940</v>
      </c>
      <c r="E48" s="131">
        <f>VLOOKUP(INPUT!$C$4,'Vehicle &amp; Track Data'!$A$23:$AD$39,C48+1,FALSE)</f>
        <v>152</v>
      </c>
      <c r="F48" s="17">
        <f t="shared" si="0"/>
        <v>1.1408382524383274</v>
      </c>
      <c r="G48" s="17">
        <f t="shared" si="1"/>
        <v>4.5481923685248934E-2</v>
      </c>
      <c r="H48" s="17">
        <f t="shared" si="2"/>
        <v>5.8829111096312499</v>
      </c>
      <c r="I48" s="17">
        <f>IF(INPUT!$C$10=0,0,($G$3/2-D48)*SIN($M$4)-G48*(E48/M$3))</f>
        <v>-8.991273297430304</v>
      </c>
      <c r="J48" s="38">
        <f t="shared" si="3"/>
        <v>932.62247152828922</v>
      </c>
      <c r="K48" s="127">
        <f t="shared" si="4"/>
        <v>217.9588928155265</v>
      </c>
      <c r="L48" s="126"/>
      <c r="M48" s="41"/>
      <c r="N48" s="153">
        <f t="shared" si="55"/>
        <v>3.3233110736595871E-2</v>
      </c>
      <c r="O48" s="65">
        <f t="shared" si="5"/>
        <v>1.9041169852978459</v>
      </c>
      <c r="P48" s="41">
        <f t="shared" si="42"/>
        <v>-3.1677704198119723E-2</v>
      </c>
      <c r="Q48" s="41">
        <f t="shared" si="7"/>
        <v>-2.104830843728885E-4</v>
      </c>
      <c r="R48" s="122">
        <f t="shared" si="43"/>
        <v>-1.4529806863820087</v>
      </c>
      <c r="S48" s="18">
        <f t="shared" si="44"/>
        <v>4.8114545881253875E-3</v>
      </c>
      <c r="T48" s="18">
        <f t="shared" si="45"/>
        <v>934.03427682960967</v>
      </c>
      <c r="U48" s="296">
        <f t="shared" si="46"/>
        <v>206.98981244712914</v>
      </c>
      <c r="V48" s="95">
        <f t="shared" si="60"/>
        <v>959.03427682960967</v>
      </c>
      <c r="W48" s="211">
        <f t="shared" si="61"/>
        <v>306.98981244712911</v>
      </c>
      <c r="X48" s="221">
        <f t="shared" si="16"/>
        <v>-3.3233110736595871E-2</v>
      </c>
      <c r="Y48" s="67">
        <f t="shared" si="17"/>
        <v>-1.9041169852978459</v>
      </c>
      <c r="Z48" s="44">
        <f t="shared" si="47"/>
        <v>1033.9928641544573</v>
      </c>
      <c r="AA48" s="305">
        <f t="shared" si="48"/>
        <v>309.48183697814437</v>
      </c>
      <c r="AB48" s="309">
        <f t="shared" si="18"/>
        <v>163.11501562500001</v>
      </c>
      <c r="AC48" s="45">
        <f t="shared" si="19"/>
        <v>161.1183770593189</v>
      </c>
      <c r="AD48" s="45">
        <f t="shared" si="56"/>
        <v>1195.0222766403065</v>
      </c>
      <c r="AE48" s="36">
        <f t="shared" si="57"/>
        <v>314.83531628520029</v>
      </c>
      <c r="AF48" s="47">
        <f t="shared" si="49"/>
        <v>954.69892427415755</v>
      </c>
      <c r="AG48" s="19">
        <f t="shared" si="50"/>
        <v>-426.51373247501169</v>
      </c>
      <c r="AH48" s="19">
        <f t="shared" si="24"/>
        <v>1045.6404735854478</v>
      </c>
      <c r="AI48" s="19">
        <f t="shared" si="33"/>
        <v>-0.42014967488470362</v>
      </c>
      <c r="AJ48" s="19">
        <f t="shared" si="34"/>
        <v>-24.072803134687199</v>
      </c>
      <c r="AK48" s="19">
        <f t="shared" si="25"/>
        <v>-26.072803134687199</v>
      </c>
      <c r="AL48" s="19">
        <f t="shared" si="35"/>
        <v>-0.4550562599245902</v>
      </c>
      <c r="AM48" s="19">
        <f t="shared" si="26"/>
        <v>939.23223288450833</v>
      </c>
      <c r="AN48" s="19">
        <f t="shared" si="58"/>
        <v>-459.57242379279046</v>
      </c>
      <c r="AO48" s="19">
        <f t="shared" si="51"/>
        <v>1179.5555852506575</v>
      </c>
      <c r="AP48" s="19">
        <f t="shared" si="52"/>
        <v>281.77662496742147</v>
      </c>
      <c r="AQ48" s="234">
        <f t="shared" si="53"/>
        <v>1179.5555852506573</v>
      </c>
      <c r="AR48" s="235">
        <f t="shared" si="54"/>
        <v>281.77662496742153</v>
      </c>
      <c r="AS48" s="319">
        <f t="shared" si="59"/>
        <v>1.5691228524916059</v>
      </c>
      <c r="AT48" s="65">
        <f t="shared" si="62"/>
        <v>89.904116985297847</v>
      </c>
      <c r="AU48" s="65">
        <f t="shared" si="63"/>
        <v>8.367367610960938E-2</v>
      </c>
      <c r="AV48" s="65">
        <f t="shared" si="64"/>
        <v>49.999929987110249</v>
      </c>
      <c r="AW48" s="18">
        <f t="shared" si="40"/>
        <v>1179.6392589267671</v>
      </c>
      <c r="AX48" s="24">
        <f t="shared" si="41"/>
        <v>331.77655495453172</v>
      </c>
      <c r="BA48" s="99"/>
      <c r="BH48"/>
      <c r="BO48"/>
    </row>
    <row r="49" spans="1:92" s="11" customFormat="1" x14ac:dyDescent="0.25">
      <c r="B49" s="445"/>
      <c r="C49" s="123">
        <v>26</v>
      </c>
      <c r="D49" s="5">
        <f>VLOOKUP(INPUT!$C$4,'Vehicle &amp; Track Data'!$A$4:$AD$20,C49+1,FALSE)</f>
        <v>940</v>
      </c>
      <c r="E49" s="131">
        <f>VLOOKUP(INPUT!$C$4,'Vehicle &amp; Track Data'!$A$23:$AD$39,C49+1,FALSE)</f>
        <v>0</v>
      </c>
      <c r="F49" s="17">
        <f t="shared" si="0"/>
        <v>1.1408382524383274</v>
      </c>
      <c r="G49" s="17">
        <f t="shared" si="1"/>
        <v>4.5481923685248934E-2</v>
      </c>
      <c r="H49" s="17">
        <f t="shared" si="2"/>
        <v>-0.17688955482057689</v>
      </c>
      <c r="I49" s="17">
        <f>IF(INPUT!$C$10=0,0,($G$3/2-D49)*SIN($M$4)-G49*(E49/M$3))</f>
        <v>-8.8704318936877069</v>
      </c>
      <c r="J49" s="38">
        <f t="shared" si="3"/>
        <v>938.68227219274104</v>
      </c>
      <c r="K49" s="127">
        <f t="shared" si="4"/>
        <v>66.079734219269099</v>
      </c>
      <c r="L49" s="126"/>
      <c r="M49" s="41"/>
      <c r="N49" s="153">
        <f t="shared" si="55"/>
        <v>3.3233110736595871E-2</v>
      </c>
      <c r="O49" s="65">
        <f t="shared" si="5"/>
        <v>1.9041169852978459</v>
      </c>
      <c r="P49" s="41">
        <f t="shared" si="42"/>
        <v>-3.1677704198119723E-2</v>
      </c>
      <c r="Q49" s="41">
        <f t="shared" si="7"/>
        <v>-2.104830843728885E-4</v>
      </c>
      <c r="R49" s="122">
        <f t="shared" si="43"/>
        <v>-0.44395061232271421</v>
      </c>
      <c r="S49" s="18">
        <f t="shared" si="44"/>
        <v>1.4587137798525269E-3</v>
      </c>
      <c r="T49" s="18">
        <f t="shared" si="45"/>
        <v>939.08477987913398</v>
      </c>
      <c r="U49" s="296">
        <f t="shared" si="46"/>
        <v>55.073742135437811</v>
      </c>
      <c r="V49" s="95">
        <f t="shared" si="60"/>
        <v>964.08477987913398</v>
      </c>
      <c r="W49" s="211">
        <f t="shared" si="61"/>
        <v>155.07374213543781</v>
      </c>
      <c r="X49" s="221">
        <f t="shared" si="16"/>
        <v>-3.3233110736595871E-2</v>
      </c>
      <c r="Y49" s="67">
        <f t="shared" si="17"/>
        <v>-1.9041169852978459</v>
      </c>
      <c r="Z49" s="44">
        <f t="shared" si="47"/>
        <v>1039.0433672039817</v>
      </c>
      <c r="AA49" s="305">
        <f t="shared" si="48"/>
        <v>157.5657666664531</v>
      </c>
      <c r="AB49" s="309">
        <f t="shared" si="18"/>
        <v>163.11501562500001</v>
      </c>
      <c r="AC49" s="45">
        <f t="shared" si="19"/>
        <v>161.1183770593189</v>
      </c>
      <c r="AD49" s="45">
        <f t="shared" si="56"/>
        <v>1200.0727796898309</v>
      </c>
      <c r="AE49" s="36">
        <f t="shared" si="57"/>
        <v>162.91924597350902</v>
      </c>
      <c r="AF49" s="47">
        <f t="shared" si="49"/>
        <v>959.74942732368197</v>
      </c>
      <c r="AG49" s="19">
        <f t="shared" si="50"/>
        <v>-578.42980278670302</v>
      </c>
      <c r="AH49" s="19">
        <f t="shared" si="24"/>
        <v>1120.580206857144</v>
      </c>
      <c r="AI49" s="19">
        <f t="shared" si="33"/>
        <v>-0.54239388702377045</v>
      </c>
      <c r="AJ49" s="19">
        <f t="shared" si="34"/>
        <v>-31.076880560157633</v>
      </c>
      <c r="AK49" s="19">
        <f t="shared" si="25"/>
        <v>-33.076880560157633</v>
      </c>
      <c r="AL49" s="19">
        <f t="shared" si="35"/>
        <v>-0.57730047206365698</v>
      </c>
      <c r="AM49" s="19">
        <f t="shared" si="26"/>
        <v>938.97786490913529</v>
      </c>
      <c r="AN49" s="19">
        <f t="shared" si="58"/>
        <v>-611.57221095360558</v>
      </c>
      <c r="AO49" s="19">
        <f t="shared" si="51"/>
        <v>1179.3012172752842</v>
      </c>
      <c r="AP49" s="19">
        <f t="shared" si="52"/>
        <v>129.77683780660641</v>
      </c>
      <c r="AQ49" s="234">
        <f t="shared" si="53"/>
        <v>1179.3012172752842</v>
      </c>
      <c r="AR49" s="235">
        <f t="shared" si="54"/>
        <v>129.77683780660641</v>
      </c>
      <c r="AS49" s="319">
        <f t="shared" si="59"/>
        <v>1.5691228524916059</v>
      </c>
      <c r="AT49" s="65">
        <f t="shared" si="62"/>
        <v>89.904116985297847</v>
      </c>
      <c r="AU49" s="65">
        <f t="shared" si="63"/>
        <v>8.367367610960938E-2</v>
      </c>
      <c r="AV49" s="65">
        <f t="shared" si="64"/>
        <v>49.999929987110249</v>
      </c>
      <c r="AW49" s="18">
        <f t="shared" si="40"/>
        <v>1179.3848909513938</v>
      </c>
      <c r="AX49" s="24">
        <f t="shared" si="41"/>
        <v>179.77676779371666</v>
      </c>
      <c r="BA49" s="99"/>
      <c r="BH49"/>
      <c r="BO49"/>
    </row>
    <row r="50" spans="1:92" s="11" customFormat="1" x14ac:dyDescent="0.25">
      <c r="B50" s="445"/>
      <c r="C50" s="123">
        <v>27</v>
      </c>
      <c r="D50" s="5">
        <f>VLOOKUP(INPUT!$C$4,'Vehicle &amp; Track Data'!$A$4:$AD$20,C50+1,FALSE)</f>
        <v>679</v>
      </c>
      <c r="E50" s="131">
        <f>VLOOKUP(INPUT!$C$4,'Vehicle &amp; Track Data'!$A$23:$AD$39,C50+1,FALSE)</f>
        <v>0</v>
      </c>
      <c r="F50" s="17">
        <f t="shared" si="0"/>
        <v>1.1408382524383274</v>
      </c>
      <c r="G50" s="17">
        <f t="shared" si="1"/>
        <v>4.5481923685248934E-2</v>
      </c>
      <c r="H50" s="17">
        <f t="shared" si="2"/>
        <v>3.0607855553223418E-2</v>
      </c>
      <c r="I50" s="17">
        <f>IF(INPUT!$C$10=0,0,($G$3/2-D50)*SIN($M$4)-G50*(E50/M$3))</f>
        <v>1.5348837209302324</v>
      </c>
      <c r="J50" s="38">
        <f t="shared" si="3"/>
        <v>677.88976960311493</v>
      </c>
      <c r="K50" s="127">
        <f t="shared" si="4"/>
        <v>55.674418604651159</v>
      </c>
      <c r="L50" s="126"/>
      <c r="M50" s="41"/>
      <c r="N50" s="153">
        <f t="shared" si="55"/>
        <v>3.3233110736595871E-2</v>
      </c>
      <c r="O50" s="65">
        <f t="shared" si="5"/>
        <v>1.9041169852978459</v>
      </c>
      <c r="P50" s="41">
        <f t="shared" si="42"/>
        <v>-3.1677704198119723E-2</v>
      </c>
      <c r="Q50" s="41">
        <f t="shared" si="7"/>
        <v>-2.104830843728885E-4</v>
      </c>
      <c r="R50" s="122">
        <f t="shared" si="43"/>
        <v>-0.36905529370314399</v>
      </c>
      <c r="S50" s="18">
        <f t="shared" si="44"/>
        <v>1.2290158633870612E-3</v>
      </c>
      <c r="T50" s="18">
        <f t="shared" si="45"/>
        <v>678.22889598866414</v>
      </c>
      <c r="U50" s="296">
        <f t="shared" si="46"/>
        <v>46.401496767504618</v>
      </c>
      <c r="V50" s="95">
        <f t="shared" si="60"/>
        <v>703.22889598866414</v>
      </c>
      <c r="W50" s="211">
        <f t="shared" si="61"/>
        <v>146.40149676750463</v>
      </c>
      <c r="X50" s="221">
        <f t="shared" si="16"/>
        <v>-3.3233110736595871E-2</v>
      </c>
      <c r="Y50" s="67">
        <f t="shared" si="17"/>
        <v>-1.9041169852978459</v>
      </c>
      <c r="Z50" s="44">
        <f t="shared" si="47"/>
        <v>778.18748331351185</v>
      </c>
      <c r="AA50" s="305">
        <f t="shared" si="48"/>
        <v>148.89352129851991</v>
      </c>
      <c r="AB50" s="309">
        <f t="shared" si="18"/>
        <v>163.11501562500001</v>
      </c>
      <c r="AC50" s="45">
        <f t="shared" si="19"/>
        <v>161.1183770593189</v>
      </c>
      <c r="AD50" s="45">
        <f t="shared" si="56"/>
        <v>939.21689579936105</v>
      </c>
      <c r="AE50" s="36">
        <f t="shared" si="57"/>
        <v>154.24700060557583</v>
      </c>
      <c r="AF50" s="47">
        <f t="shared" si="49"/>
        <v>698.89354343321213</v>
      </c>
      <c r="AG50" s="19">
        <f t="shared" si="50"/>
        <v>-587.10204815463612</v>
      </c>
      <c r="AH50" s="19">
        <f t="shared" si="24"/>
        <v>912.76557779092434</v>
      </c>
      <c r="AI50" s="19">
        <f t="shared" si="33"/>
        <v>-0.69868622581718387</v>
      </c>
      <c r="AJ50" s="19">
        <f t="shared" si="34"/>
        <v>-40.031771943249012</v>
      </c>
      <c r="AK50" s="19">
        <f t="shared" si="25"/>
        <v>-42.031771943249012</v>
      </c>
      <c r="AL50" s="19">
        <f t="shared" si="35"/>
        <v>-0.73359281085707051</v>
      </c>
      <c r="AM50" s="19">
        <f t="shared" si="26"/>
        <v>677.9782303764199</v>
      </c>
      <c r="AN50" s="19">
        <f t="shared" si="58"/>
        <v>-611.13543436431337</v>
      </c>
      <c r="AO50" s="19">
        <f t="shared" si="51"/>
        <v>918.30158274256883</v>
      </c>
      <c r="AP50" s="19">
        <f t="shared" si="52"/>
        <v>130.21361439589862</v>
      </c>
      <c r="AQ50" s="234">
        <f t="shared" si="53"/>
        <v>918.30158274256883</v>
      </c>
      <c r="AR50" s="235">
        <f t="shared" si="54"/>
        <v>130.21361439589862</v>
      </c>
      <c r="AS50" s="319">
        <f t="shared" si="59"/>
        <v>1.5691228524916059</v>
      </c>
      <c r="AT50" s="65">
        <f t="shared" si="62"/>
        <v>89.904116985297847</v>
      </c>
      <c r="AU50" s="65">
        <f t="shared" si="63"/>
        <v>8.367367610960938E-2</v>
      </c>
      <c r="AV50" s="65">
        <f t="shared" si="64"/>
        <v>49.999929987110249</v>
      </c>
      <c r="AW50" s="18">
        <f t="shared" si="40"/>
        <v>918.38525641867841</v>
      </c>
      <c r="AX50" s="24">
        <f t="shared" si="41"/>
        <v>180.21354438300887</v>
      </c>
      <c r="BA50" s="99"/>
      <c r="BH50"/>
      <c r="BK50"/>
      <c r="BL50"/>
      <c r="BM50"/>
      <c r="BN50"/>
      <c r="BO50"/>
    </row>
    <row r="51" spans="1:92" ht="12" thickBot="1" x14ac:dyDescent="0.3">
      <c r="B51" s="446"/>
      <c r="C51" s="124" t="s">
        <v>42</v>
      </c>
      <c r="D51" s="134">
        <v>0</v>
      </c>
      <c r="E51" s="135">
        <v>610</v>
      </c>
      <c r="F51" s="26">
        <f t="shared" si="0"/>
        <v>1.1408382524383274</v>
      </c>
      <c r="G51" s="26">
        <f t="shared" si="1"/>
        <v>4.5481923685248934E-2</v>
      </c>
      <c r="H51" s="17">
        <f t="shared" si="2"/>
        <v>24.889356003295575</v>
      </c>
      <c r="I51" s="26">
        <f>IF(INPUT!$C$10=0,0,($G$3/2-D51)*SIN($M$4)-G51*(E51/M$3))</f>
        <v>28.119695529350011</v>
      </c>
      <c r="J51" s="26">
        <f t="shared" si="3"/>
        <v>-24.889356003295532</v>
      </c>
      <c r="K51" s="195">
        <f t="shared" si="4"/>
        <v>638.11969552935</v>
      </c>
      <c r="L51" s="196"/>
      <c r="M51" s="42"/>
      <c r="N51" s="358">
        <f t="shared" si="55"/>
        <v>3.3233110736595871E-2</v>
      </c>
      <c r="O51" s="80">
        <f t="shared" si="5"/>
        <v>1.9041169852978459</v>
      </c>
      <c r="P51" s="42">
        <f t="shared" si="42"/>
        <v>-3.1677704198119723E-2</v>
      </c>
      <c r="Q51" s="42">
        <f t="shared" si="7"/>
        <v>-2.104830843728885E-4</v>
      </c>
      <c r="R51" s="201">
        <f t="shared" si="43"/>
        <v>-4.2236096909327179</v>
      </c>
      <c r="S51" s="27">
        <f t="shared" si="44"/>
        <v>1.4086527496845276E-2</v>
      </c>
      <c r="T51" s="18">
        <f t="shared" si="45"/>
        <v>-20.664647444548002</v>
      </c>
      <c r="U51" s="296">
        <f t="shared" si="46"/>
        <v>633.5035449221408</v>
      </c>
      <c r="V51" s="96">
        <f>T51+IF(OR($D$10,$D$7&gt;2000),$G$4,$G$5)</f>
        <v>4.3353525554519976</v>
      </c>
      <c r="W51" s="212">
        <f>U51+$G$6</f>
        <v>733.5035449221408</v>
      </c>
      <c r="X51" s="221">
        <f t="shared" si="16"/>
        <v>-3.3233110736595871E-2</v>
      </c>
      <c r="Y51" s="68">
        <f t="shared" si="17"/>
        <v>-1.9041169852978459</v>
      </c>
      <c r="Z51" s="51">
        <f t="shared" si="47"/>
        <v>79.293939880299689</v>
      </c>
      <c r="AA51" s="306">
        <f t="shared" si="48"/>
        <v>735.99556945315612</v>
      </c>
      <c r="AB51" s="310">
        <f t="shared" si="18"/>
        <v>163.11501562500001</v>
      </c>
      <c r="AC51" s="311">
        <f t="shared" si="19"/>
        <v>161.1183770593189</v>
      </c>
      <c r="AD51" s="311">
        <f t="shared" si="56"/>
        <v>240.32335236614895</v>
      </c>
      <c r="AE51" s="312">
        <f t="shared" si="57"/>
        <v>741.34904876021199</v>
      </c>
      <c r="AF51" s="4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36"/>
      <c r="AR51" s="237"/>
      <c r="AS51" s="320"/>
      <c r="AT51" s="80"/>
      <c r="AU51" s="80"/>
      <c r="AV51" s="80"/>
      <c r="AW51" s="27"/>
      <c r="AX51" s="29"/>
    </row>
    <row r="52" spans="1:92" ht="12" thickBot="1" x14ac:dyDescent="0.3">
      <c r="N52" s="220"/>
      <c r="V52" s="276"/>
      <c r="X52" s="220"/>
      <c r="BT52" s="11"/>
      <c r="BU52" s="11"/>
      <c r="CF52" s="11"/>
      <c r="CM52" s="13"/>
      <c r="CN52" s="13"/>
    </row>
    <row r="53" spans="1:92" ht="12" thickBot="1" x14ac:dyDescent="0.3">
      <c r="C53" s="11"/>
      <c r="D53" s="11"/>
      <c r="E53" s="11"/>
      <c r="F53" s="11"/>
      <c r="I53" s="11"/>
      <c r="N53" s="11"/>
      <c r="P53" s="11"/>
      <c r="W53" s="90" t="s">
        <v>170</v>
      </c>
      <c r="X53" s="428" t="s">
        <v>147</v>
      </c>
      <c r="Y53" s="429"/>
      <c r="Z53" s="429"/>
      <c r="AA53" s="430"/>
      <c r="AB53" s="428" t="s">
        <v>47</v>
      </c>
      <c r="AC53" s="429"/>
      <c r="AD53" s="429"/>
      <c r="AE53" s="430"/>
      <c r="AF53" s="428" t="s">
        <v>48</v>
      </c>
      <c r="AG53" s="429"/>
      <c r="AH53" s="429"/>
      <c r="AI53" s="429"/>
      <c r="AJ53" s="429"/>
      <c r="AK53" s="429"/>
      <c r="AL53" s="429"/>
      <c r="AM53" s="429"/>
      <c r="AN53" s="429"/>
      <c r="AO53" s="429"/>
      <c r="AP53" s="429"/>
      <c r="AQ53" s="429"/>
      <c r="AR53" s="430"/>
      <c r="AS53" s="428" t="s">
        <v>49</v>
      </c>
      <c r="AT53" s="429"/>
      <c r="AU53" s="429"/>
      <c r="AV53" s="429"/>
      <c r="AW53" s="429"/>
      <c r="AX53" s="430"/>
      <c r="BT53" s="11"/>
      <c r="BU53" s="11"/>
      <c r="CF53" s="11"/>
      <c r="CM53" s="13"/>
      <c r="CN53" s="13"/>
    </row>
    <row r="54" spans="1:92" ht="14" thickBot="1" x14ac:dyDescent="0.4">
      <c r="B54" s="175"/>
      <c r="C54" s="177"/>
      <c r="D54" s="177"/>
      <c r="E54" s="177"/>
      <c r="F54" s="289"/>
      <c r="G54" s="289"/>
      <c r="H54" s="175"/>
      <c r="I54" s="175"/>
      <c r="J54" s="175"/>
      <c r="K54" s="175"/>
      <c r="L54" s="175"/>
      <c r="M54" s="175"/>
      <c r="N54" s="177"/>
      <c r="O54" s="177"/>
      <c r="P54" s="11"/>
      <c r="Q54" s="13"/>
      <c r="R54" s="11"/>
      <c r="S54" s="11"/>
      <c r="V54" s="347" t="s">
        <v>16</v>
      </c>
      <c r="W54" s="93" t="s">
        <v>58</v>
      </c>
      <c r="X54" s="91" t="s">
        <v>35</v>
      </c>
      <c r="Y54" s="59" t="s">
        <v>36</v>
      </c>
      <c r="Z54" s="59" t="s">
        <v>59</v>
      </c>
      <c r="AA54" s="60" t="s">
        <v>60</v>
      </c>
      <c r="AB54" s="58" t="s">
        <v>31</v>
      </c>
      <c r="AC54" s="59" t="s">
        <v>32</v>
      </c>
      <c r="AD54" s="59" t="s">
        <v>61</v>
      </c>
      <c r="AE54" s="60" t="s">
        <v>62</v>
      </c>
      <c r="AF54" s="75" t="s">
        <v>63</v>
      </c>
      <c r="AG54" s="70" t="s">
        <v>64</v>
      </c>
      <c r="AH54" s="70" t="s">
        <v>34</v>
      </c>
      <c r="AI54" s="70" t="s">
        <v>114</v>
      </c>
      <c r="AJ54" s="70" t="s">
        <v>115</v>
      </c>
      <c r="AK54" s="70" t="s">
        <v>116</v>
      </c>
      <c r="AL54" s="70" t="s">
        <v>117</v>
      </c>
      <c r="AM54" s="70" t="s">
        <v>37</v>
      </c>
      <c r="AN54" s="70" t="s">
        <v>38</v>
      </c>
      <c r="AO54" s="76" t="s">
        <v>65</v>
      </c>
      <c r="AP54" s="71" t="s">
        <v>66</v>
      </c>
      <c r="AQ54" s="230" t="s">
        <v>148</v>
      </c>
      <c r="AR54" s="231" t="s">
        <v>149</v>
      </c>
      <c r="AS54" s="58" t="s">
        <v>35</v>
      </c>
      <c r="AT54" s="59" t="s">
        <v>36</v>
      </c>
      <c r="AU54" s="72" t="s">
        <v>70</v>
      </c>
      <c r="AV54" s="72" t="s">
        <v>71</v>
      </c>
      <c r="AW54" s="73" t="s">
        <v>67</v>
      </c>
      <c r="AX54" s="74" t="s">
        <v>68</v>
      </c>
      <c r="BT54" s="11"/>
      <c r="BU54" s="11"/>
      <c r="CF54" s="11"/>
      <c r="CM54" s="13"/>
      <c r="CN54" s="13"/>
    </row>
    <row r="55" spans="1:92" ht="13.5" thickBot="1" x14ac:dyDescent="0.35">
      <c r="B55" s="447" t="s">
        <v>155</v>
      </c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9"/>
      <c r="P55" s="288"/>
      <c r="Q55" s="13"/>
      <c r="R55" s="11"/>
      <c r="S55" s="11"/>
      <c r="T55" s="13"/>
      <c r="U55" s="13"/>
      <c r="V55" s="125" t="s">
        <v>42</v>
      </c>
      <c r="W55" s="327">
        <f>U22-$G$7</f>
        <v>492.70767308156553</v>
      </c>
      <c r="X55" s="221">
        <f>-N22</f>
        <v>-4.6522245067714872E-2</v>
      </c>
      <c r="Y55" s="66">
        <f>DEGREES(X22)</f>
        <v>-2.665528295853373</v>
      </c>
      <c r="Z55" s="49">
        <f>V22-($J$4+$G$8)*COS(X55)</f>
        <v>-129.06349606250876</v>
      </c>
      <c r="AA55" s="55">
        <f t="shared" ref="AA55:AA69" si="65">W55+($J$4+$G$8)*SIN(X55)</f>
        <v>489.21976317769492</v>
      </c>
      <c r="AB55" s="208">
        <f>IF($D$7=0,0,IF($D$10,0,($J$3^2)/(8*$D$7*1000)))</f>
        <v>163.11501562500001</v>
      </c>
      <c r="AC55" s="209">
        <f>IF($D$7=0,0,IF($D$10,0,$J$5^2/(8*($D$7*1000)+4*$J$7)-AB55))</f>
        <v>161.1183770593189</v>
      </c>
      <c r="AD55" s="209">
        <f>Z55-IF($D$13="Right",AC55,AB55)*COS(X55)</f>
        <v>-292.00202703462696</v>
      </c>
      <c r="AE55" s="57">
        <f>AA55+IF($D$13="Right",AC55,AB55)*SIN(X55)</f>
        <v>481.63402346478227</v>
      </c>
      <c r="AF55" s="46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32"/>
      <c r="AR55" s="233"/>
      <c r="AS55" s="77"/>
      <c r="AT55" s="78"/>
      <c r="AU55" s="21"/>
      <c r="AV55" s="21"/>
      <c r="AW55" s="61"/>
      <c r="AX55" s="23"/>
      <c r="BT55" s="11"/>
      <c r="BU55" s="11"/>
      <c r="CF55" s="11"/>
      <c r="CM55" s="13"/>
      <c r="CN55" s="13"/>
    </row>
    <row r="56" spans="1:92" ht="12" thickBot="1" x14ac:dyDescent="0.3">
      <c r="B56" s="450" t="s">
        <v>50</v>
      </c>
      <c r="C56" s="451"/>
      <c r="D56" s="451"/>
      <c r="E56" s="452"/>
      <c r="F56" s="431" t="s">
        <v>159</v>
      </c>
      <c r="G56" s="459"/>
      <c r="H56" s="458" t="s">
        <v>160</v>
      </c>
      <c r="I56" s="459"/>
      <c r="J56" s="458" t="s">
        <v>161</v>
      </c>
      <c r="K56" s="459"/>
      <c r="L56" s="435" t="s">
        <v>162</v>
      </c>
      <c r="M56" s="436"/>
      <c r="N56" s="454" t="s">
        <v>135</v>
      </c>
      <c r="O56" s="436"/>
      <c r="U56" s="11"/>
      <c r="V56" s="123">
        <v>1</v>
      </c>
      <c r="W56" s="327">
        <f t="shared" ref="W56:W84" si="66">U23-$G$7</f>
        <v>-73.290686918597373</v>
      </c>
      <c r="X56" s="221">
        <f t="shared" ref="X56:X84" si="67">-N23</f>
        <v>-4.6522245067714872E-2</v>
      </c>
      <c r="Y56" s="66">
        <f t="shared" ref="Y56:Y84" si="68">DEGREES(X23)</f>
        <v>-2.665528295853373</v>
      </c>
      <c r="Z56" s="49">
        <f t="shared" ref="Z56:Z69" si="69">V23-($J$4+$G$8)*COS(X56)</f>
        <v>-782.44841820039062</v>
      </c>
      <c r="AA56" s="34">
        <f t="shared" si="65"/>
        <v>-76.778596822467989</v>
      </c>
      <c r="AB56" s="208">
        <f t="shared" ref="AB56:AB84" si="70">IF($D$7=0,0,IF($D$10,0,($J$3^2)/(8*$D$7*1000)))</f>
        <v>163.11501562500001</v>
      </c>
      <c r="AC56" s="209">
        <f t="shared" ref="AC56:AC84" si="71">IF($D$7=0,0,IF($D$10,0,$J$5^2/(8*($D$7*1000)+4*$J$7)-AB56))</f>
        <v>161.1183770593189</v>
      </c>
      <c r="AD56" s="209">
        <f t="shared" ref="AD56:AD69" si="72">Z56-IF($D$13="Right",AC56,AB56)*COS(X56)</f>
        <v>-945.38694917250882</v>
      </c>
      <c r="AE56" s="57">
        <f t="shared" ref="AE56:AE69" si="73">AA56+IF($D$13="Right",AC56,AB56)*SIN(X56)</f>
        <v>-84.36433653538063</v>
      </c>
      <c r="AF56" s="47">
        <f t="shared" ref="AF56:AF69" si="74">AD56-$AD$22</f>
        <v>-653.38492213788186</v>
      </c>
      <c r="AG56" s="19">
        <f t="shared" ref="AG56:AG69" si="75">AE56-$AE$22</f>
        <v>-815.99836000016285</v>
      </c>
      <c r="AH56" s="19">
        <f t="shared" ref="AH56:AH83" si="76">SQRT(AF56^2+AG56^2)</f>
        <v>1045.3540931187295</v>
      </c>
      <c r="AI56" s="19">
        <f>ASIN(AG56/AH56)</f>
        <v>-0.89561747365594691</v>
      </c>
      <c r="AJ56" s="19">
        <f>DEGREES(AI56)</f>
        <v>-51.315101298654952</v>
      </c>
      <c r="AK56" s="19">
        <f t="shared" ref="AK56:AK83" si="77">AJ56-$J$8</f>
        <v>-53.315101298654952</v>
      </c>
      <c r="AL56" s="19">
        <f>RADIANS(AK56)</f>
        <v>-0.93052405869583354</v>
      </c>
      <c r="AM56" s="19">
        <f t="shared" ref="AM56:AM83" si="78">IF(AF56&lt;0,-AH56*COS(AL56),AH56*COS(AL56))</f>
        <v>-624.50896562311323</v>
      </c>
      <c r="AN56" s="19">
        <f t="shared" ref="AN56:AN65" si="79">AH56*SIN(AL56)</f>
        <v>-838.3040807824035</v>
      </c>
      <c r="AO56" s="19">
        <f t="shared" ref="AO56:AO69" si="80">$AD$55+(AD56-$AD$55)*COS($J$9)-(AE56-$AE$55)*SIN($J$9)</f>
        <v>-925.23586683336555</v>
      </c>
      <c r="AP56" s="19">
        <f t="shared" ref="AP56:AP69" si="81">$AE$22+((AD56-$AD$22)*SIN($J$9))+((AE56-$AE$22)*COS($J$9))</f>
        <v>-106.67005731762117</v>
      </c>
      <c r="AQ56" s="234">
        <f t="shared" ref="AQ56:AQ69" si="82">AM56+$AD$22</f>
        <v>-916.51099265774019</v>
      </c>
      <c r="AR56" s="235">
        <f t="shared" ref="AR56:AR69" si="83">AN56+$AE$22</f>
        <v>-106.67005731762129</v>
      </c>
      <c r="AS56" s="79">
        <f>X56-$J$9</f>
        <v>-8.1428830107601463E-2</v>
      </c>
      <c r="AT56" s="64">
        <f>DEGREES(AS56)</f>
        <v>-4.665528295853373</v>
      </c>
      <c r="AU56" s="65">
        <f>$J$12*SIN(AS56)</f>
        <v>-4.0669436099351008</v>
      </c>
      <c r="AV56" s="65">
        <f>$J$12*COS(AS56)</f>
        <v>49.834325215393541</v>
      </c>
      <c r="AW56" s="62">
        <f>AO56+AU56</f>
        <v>-929.3028104433007</v>
      </c>
      <c r="AX56" s="24">
        <f>AP56+AV56</f>
        <v>-56.835732102227631</v>
      </c>
      <c r="BT56" s="11"/>
      <c r="BU56" s="11"/>
      <c r="CF56" s="11"/>
      <c r="CM56" s="13"/>
      <c r="CN56" s="13"/>
    </row>
    <row r="57" spans="1:92" ht="14.25" customHeight="1" thickBot="1" x14ac:dyDescent="0.3">
      <c r="B57" s="444" t="s">
        <v>133</v>
      </c>
      <c r="C57" s="81" t="s">
        <v>16</v>
      </c>
      <c r="D57" s="37" t="s">
        <v>17</v>
      </c>
      <c r="E57" s="128" t="s">
        <v>18</v>
      </c>
      <c r="F57" s="164" t="s">
        <v>55</v>
      </c>
      <c r="G57" s="156" t="s">
        <v>56</v>
      </c>
      <c r="H57" s="156" t="s">
        <v>55</v>
      </c>
      <c r="I57" s="156" t="s">
        <v>56</v>
      </c>
      <c r="J57" s="156" t="s">
        <v>55</v>
      </c>
      <c r="K57" s="156" t="s">
        <v>56</v>
      </c>
      <c r="L57" s="156" t="s">
        <v>55</v>
      </c>
      <c r="M57" s="163" t="s">
        <v>56</v>
      </c>
      <c r="N57" s="156" t="s">
        <v>55</v>
      </c>
      <c r="O57" s="163" t="s">
        <v>56</v>
      </c>
      <c r="U57" s="11"/>
      <c r="V57" s="123">
        <v>2</v>
      </c>
      <c r="W57" s="327">
        <f t="shared" si="66"/>
        <v>-148.20953958267975</v>
      </c>
      <c r="X57" s="221">
        <f t="shared" si="67"/>
        <v>-4.6522245067714872E-2</v>
      </c>
      <c r="Y57" s="66">
        <f t="shared" si="68"/>
        <v>-2.665528295853373</v>
      </c>
      <c r="Z57" s="49">
        <f t="shared" si="69"/>
        <v>-778.96050829652006</v>
      </c>
      <c r="AA57" s="34">
        <f t="shared" si="65"/>
        <v>-151.69744948655037</v>
      </c>
      <c r="AB57" s="208">
        <f t="shared" si="70"/>
        <v>163.11501562500001</v>
      </c>
      <c r="AC57" s="209">
        <f t="shared" si="71"/>
        <v>161.1183770593189</v>
      </c>
      <c r="AD57" s="209">
        <f t="shared" si="72"/>
        <v>-941.89903926863826</v>
      </c>
      <c r="AE57" s="57">
        <f t="shared" si="73"/>
        <v>-159.28318919946301</v>
      </c>
      <c r="AF57" s="47">
        <f t="shared" si="74"/>
        <v>-649.8970122340113</v>
      </c>
      <c r="AG57" s="19">
        <f t="shared" si="75"/>
        <v>-890.9172126642452</v>
      </c>
      <c r="AH57" s="19">
        <f t="shared" si="76"/>
        <v>1102.7690630100767</v>
      </c>
      <c r="AI57" s="19">
        <f t="shared" ref="AI57:AI68" si="84">ASIN(AG57/AH57)</f>
        <v>-0.94056467552344247</v>
      </c>
      <c r="AJ57" s="19">
        <f t="shared" ref="AJ57:AJ68" si="85">DEGREES(AI57)</f>
        <v>-53.890386266584976</v>
      </c>
      <c r="AK57" s="19">
        <f t="shared" si="77"/>
        <v>-55.890386266584976</v>
      </c>
      <c r="AL57" s="19">
        <f t="shared" ref="AL57:AL68" si="86">RADIANS(AK57)</f>
        <v>-0.975471260563329</v>
      </c>
      <c r="AM57" s="19">
        <f t="shared" si="78"/>
        <v>-618.40855020821061</v>
      </c>
      <c r="AN57" s="19">
        <f t="shared" si="79"/>
        <v>-913.05556860549382</v>
      </c>
      <c r="AO57" s="19">
        <f t="shared" si="80"/>
        <v>-919.13545141846294</v>
      </c>
      <c r="AP57" s="19">
        <f t="shared" si="81"/>
        <v>-181.4215451407116</v>
      </c>
      <c r="AQ57" s="234">
        <f t="shared" si="82"/>
        <v>-910.41057724283758</v>
      </c>
      <c r="AR57" s="235">
        <f t="shared" si="83"/>
        <v>-181.4215451407116</v>
      </c>
      <c r="AS57" s="79">
        <f t="shared" ref="AS57:AS69" si="87">X57-$J$9</f>
        <v>-8.1428830107601463E-2</v>
      </c>
      <c r="AT57" s="64">
        <f t="shared" ref="AT57:AT69" si="88">DEGREES(AS57)</f>
        <v>-4.665528295853373</v>
      </c>
      <c r="AU57" s="65">
        <f t="shared" ref="AU57:AU69" si="89">$J$12*SIN(AS57)</f>
        <v>-4.0669436099351008</v>
      </c>
      <c r="AV57" s="65">
        <f t="shared" ref="AV57:AV69" si="90">$J$12*COS(AS57)</f>
        <v>49.834325215393541</v>
      </c>
      <c r="AW57" s="62">
        <f t="shared" ref="AW57:AW83" si="91">AO57+AU57</f>
        <v>-923.20239502839809</v>
      </c>
      <c r="AX57" s="24">
        <f t="shared" ref="AX57:AX83" si="92">AP57+AV57</f>
        <v>-131.58721992531807</v>
      </c>
      <c r="BT57" s="11"/>
      <c r="BU57" s="11"/>
      <c r="CF57" s="11"/>
      <c r="CM57" s="13"/>
      <c r="CN57" s="13"/>
    </row>
    <row r="58" spans="1:92" x14ac:dyDescent="0.25">
      <c r="A58" t="b">
        <v>1</v>
      </c>
      <c r="B58" s="445"/>
      <c r="C58" s="33" t="s">
        <v>42</v>
      </c>
      <c r="D58" s="20">
        <v>0</v>
      </c>
      <c r="E58" s="165">
        <v>610</v>
      </c>
      <c r="F58" s="62">
        <f t="shared" ref="F58:F87" si="93">(-$G$3/2)+COS($M$8)*($D58-(-$G$3/2))-SIN($M$8)*($E58-0)</f>
        <v>-4.0689949982785381</v>
      </c>
      <c r="G58" s="18">
        <f t="shared" ref="G58:G87" si="94">0+SIN($M$8)*($D58-(-$G$3/2))+COS($M$8)*(E58-0)</f>
        <v>614.75397607679906</v>
      </c>
      <c r="H58" s="18">
        <f t="shared" ref="H58:H87" si="95">(-$G$3/2)+COS(-$M$8)*($D58-(-$G$3/2))-SIN(-$M$8)*($E58-0)</f>
        <v>4.0373172940802649</v>
      </c>
      <c r="I58" s="18">
        <f t="shared" ref="I58:I87" si="96">0+SIN(-$M$8)*($D58-(-$G$3/2))+COS(-$M$8)*(E58-0)</f>
        <v>605.21909235586872</v>
      </c>
      <c r="J58" s="18">
        <f t="shared" ref="J58:J87" si="97">($G$3/2)+COS(-$M$8)*($D58-($G$3/2))-SIN(-$M$8)*($E58-0)</f>
        <v>4.0689949982785381</v>
      </c>
      <c r="K58" s="18">
        <f t="shared" ref="K58:K87" si="98">0+SIN(-$M$8)*($D58-($G$3/2))+COS(-$M$8)*($E58-0)</f>
        <v>614.75397607679906</v>
      </c>
      <c r="L58" s="18">
        <f t="shared" ref="L58:L87" si="99">($G$3/2)+COS($M$8)*($D58-($G$3/2))-SIN($M$8)*($E58-0)</f>
        <v>-4.0373172940802649</v>
      </c>
      <c r="M58" s="24">
        <f t="shared" ref="M58:M87" si="100">0+SIN($M$8)*($D58-($G$3/2))+COS($M$8)*($E58-0)</f>
        <v>605.21909235586872</v>
      </c>
      <c r="N58" s="228">
        <f>IF($D58&lt;&gt;0,IF(AND($D58&gt;0,$E58&gt;=$J$11),J58,IF(AND($D58&gt;0,$E58&lt;$J$11),H58,IF(AND($D58&lt;0,$E58&gt;=$J$11),F58,L58))),IF($A58,IF(E58&gt;=$J$11,$F58,L58),IF(E58&gt;=$J$11,J58,H58)))</f>
        <v>-4.0373172940802649</v>
      </c>
      <c r="O58" s="280">
        <f t="shared" ref="O58:O87" si="101">IF(AND($D58&gt;=0,$E58&gt;=$J$11),K58,IF(AND($D58&gt;=0,$E58&lt;$J$11),I58,IF(AND($D58&lt;0,$E58&gt;$J$11),G58,M58)))</f>
        <v>605.21909235586872</v>
      </c>
      <c r="U58" s="11"/>
      <c r="V58" s="123">
        <v>3</v>
      </c>
      <c r="W58" s="327">
        <f t="shared" si="66"/>
        <v>-160.3474660481495</v>
      </c>
      <c r="X58" s="221">
        <f t="shared" si="67"/>
        <v>-4.6522245067714872E-2</v>
      </c>
      <c r="Y58" s="66">
        <f t="shared" si="68"/>
        <v>-2.665528295853373</v>
      </c>
      <c r="Z58" s="49">
        <f t="shared" si="69"/>
        <v>-1039.6781155675267</v>
      </c>
      <c r="AA58" s="34">
        <f t="shared" si="65"/>
        <v>-163.83537595202012</v>
      </c>
      <c r="AB58" s="208">
        <f t="shared" si="70"/>
        <v>163.11501562500001</v>
      </c>
      <c r="AC58" s="209">
        <f t="shared" si="71"/>
        <v>161.1183770593189</v>
      </c>
      <c r="AD58" s="209">
        <f t="shared" si="72"/>
        <v>-1202.616646539645</v>
      </c>
      <c r="AE58" s="57">
        <f t="shared" si="73"/>
        <v>-171.42111566493276</v>
      </c>
      <c r="AF58" s="47">
        <f t="shared" si="74"/>
        <v>-910.61461950501803</v>
      </c>
      <c r="AG58" s="19">
        <f t="shared" si="75"/>
        <v>-903.05513912971492</v>
      </c>
      <c r="AH58" s="19">
        <f t="shared" si="76"/>
        <v>1282.4693249995719</v>
      </c>
      <c r="AI58" s="19">
        <f t="shared" si="84"/>
        <v>-0.78123012973886174</v>
      </c>
      <c r="AJ58" s="19">
        <f t="shared" si="85"/>
        <v>-44.761189262494518</v>
      </c>
      <c r="AK58" s="19">
        <f t="shared" si="77"/>
        <v>-46.761189262494518</v>
      </c>
      <c r="AL58" s="19">
        <f t="shared" si="86"/>
        <v>-0.81613671477874827</v>
      </c>
      <c r="AM58" s="19">
        <f t="shared" si="78"/>
        <v>-878.54372783256531</v>
      </c>
      <c r="AN58" s="19">
        <f t="shared" si="79"/>
        <v>-934.28501424935484</v>
      </c>
      <c r="AO58" s="19">
        <f t="shared" si="80"/>
        <v>-1179.2706290428173</v>
      </c>
      <c r="AP58" s="19">
        <f t="shared" si="81"/>
        <v>-202.65099078457274</v>
      </c>
      <c r="AQ58" s="234">
        <f t="shared" si="82"/>
        <v>-1170.5457548671923</v>
      </c>
      <c r="AR58" s="235">
        <f t="shared" si="83"/>
        <v>-202.65099078457263</v>
      </c>
      <c r="AS58" s="79">
        <f t="shared" si="87"/>
        <v>-8.1428830107601463E-2</v>
      </c>
      <c r="AT58" s="64">
        <f t="shared" si="88"/>
        <v>-4.665528295853373</v>
      </c>
      <c r="AU58" s="65">
        <f t="shared" si="89"/>
        <v>-4.0669436099351008</v>
      </c>
      <c r="AV58" s="65">
        <f t="shared" si="90"/>
        <v>49.834325215393541</v>
      </c>
      <c r="AW58" s="62">
        <f t="shared" si="91"/>
        <v>-1183.3375726527524</v>
      </c>
      <c r="AX58" s="24">
        <f t="shared" si="92"/>
        <v>-152.81666556917921</v>
      </c>
      <c r="BT58" s="11"/>
      <c r="BU58" s="11"/>
      <c r="CF58" s="11"/>
      <c r="CM58" s="13"/>
      <c r="CN58" s="13"/>
    </row>
    <row r="59" spans="1:92" x14ac:dyDescent="0.25">
      <c r="A59" t="b">
        <v>1</v>
      </c>
      <c r="B59" s="445"/>
      <c r="C59" s="123">
        <v>1</v>
      </c>
      <c r="D59" s="12">
        <f>VLOOKUP(INPUT!$C$4,'Vehicle &amp; Track Data'!$A$4:$AD$20,C59+1,FALSE)</f>
        <v>-679</v>
      </c>
      <c r="E59" s="166">
        <f>VLOOKUP(INPUT!$C$4,'Vehicle &amp; Track Data'!$A$23:$AD$39,C59+1,FALSE)</f>
        <v>75</v>
      </c>
      <c r="F59" s="62">
        <f t="shared" si="93"/>
        <v>-679.49918876005677</v>
      </c>
      <c r="G59" s="18">
        <f t="shared" si="94"/>
        <v>75.254158324349092</v>
      </c>
      <c r="H59" s="18">
        <f t="shared" si="95"/>
        <v>-678.50251101919298</v>
      </c>
      <c r="I59" s="18">
        <f t="shared" si="96"/>
        <v>74.74253041737235</v>
      </c>
      <c r="J59" s="18">
        <f t="shared" si="97"/>
        <v>-678.47083331499482</v>
      </c>
      <c r="K59" s="18">
        <f t="shared" si="98"/>
        <v>84.277414138302575</v>
      </c>
      <c r="L59" s="18">
        <f t="shared" si="99"/>
        <v>-679.46751105585861</v>
      </c>
      <c r="M59" s="24">
        <f t="shared" si="100"/>
        <v>65.719274603418867</v>
      </c>
      <c r="N59" s="225">
        <f>IF($D59&lt;&gt;0,IF(AND($D59&gt;0,$E59&gt;=$J$11),J59,IF(AND($D59&gt;0,$E59&lt;$J$11),H59,IF(AND($D59&lt;0,$E59&gt;=$J$11),F59,L59))),IF($A59,IF(E59&gt;=$J$11,$F59,L59),IF(E59&gt;=$J$11,J59,H59)))</f>
        <v>-679.46751105585861</v>
      </c>
      <c r="O59" s="280">
        <f t="shared" si="101"/>
        <v>65.719274603418867</v>
      </c>
      <c r="U59" s="11"/>
      <c r="V59" s="123">
        <v>4</v>
      </c>
      <c r="W59" s="327">
        <f t="shared" si="66"/>
        <v>-8.5119246489425677</v>
      </c>
      <c r="X59" s="221">
        <f t="shared" si="67"/>
        <v>-4.6522245067714872E-2</v>
      </c>
      <c r="Y59" s="66">
        <f t="shared" si="68"/>
        <v>-2.665528295853373</v>
      </c>
      <c r="Z59" s="49">
        <f t="shared" si="69"/>
        <v>-1046.7469463060379</v>
      </c>
      <c r="AA59" s="34">
        <f t="shared" si="65"/>
        <v>-11.999834552813187</v>
      </c>
      <c r="AB59" s="208">
        <f t="shared" si="70"/>
        <v>163.11501562500001</v>
      </c>
      <c r="AC59" s="209">
        <f t="shared" si="71"/>
        <v>161.1183770593189</v>
      </c>
      <c r="AD59" s="209">
        <f t="shared" si="72"/>
        <v>-1209.6854772781562</v>
      </c>
      <c r="AE59" s="57">
        <f t="shared" si="73"/>
        <v>-19.585574265725832</v>
      </c>
      <c r="AF59" s="47">
        <f t="shared" si="74"/>
        <v>-917.68345024352925</v>
      </c>
      <c r="AG59" s="19">
        <f t="shared" si="75"/>
        <v>-751.2195977305081</v>
      </c>
      <c r="AH59" s="19">
        <f t="shared" si="76"/>
        <v>1185.9484806960438</v>
      </c>
      <c r="AI59" s="19">
        <f t="shared" si="84"/>
        <v>-0.6859825158119135</v>
      </c>
      <c r="AJ59" s="19">
        <f t="shared" si="85"/>
        <v>-39.303902975788901</v>
      </c>
      <c r="AK59" s="19">
        <f t="shared" si="77"/>
        <v>-41.303902975788901</v>
      </c>
      <c r="AL59" s="19">
        <f t="shared" si="86"/>
        <v>-0.72088910085180002</v>
      </c>
      <c r="AM59" s="19">
        <f t="shared" si="78"/>
        <v>-890.90723640676811</v>
      </c>
      <c r="AN59" s="19">
        <f t="shared" si="79"/>
        <v>-782.78866559455855</v>
      </c>
      <c r="AO59" s="19">
        <f t="shared" si="80"/>
        <v>-1191.6341376170201</v>
      </c>
      <c r="AP59" s="19">
        <f t="shared" si="81"/>
        <v>-51.154642129776448</v>
      </c>
      <c r="AQ59" s="234">
        <f t="shared" si="82"/>
        <v>-1182.9092634413951</v>
      </c>
      <c r="AR59" s="235">
        <f t="shared" si="83"/>
        <v>-51.154642129776335</v>
      </c>
      <c r="AS59" s="79">
        <f t="shared" si="87"/>
        <v>-8.1428830107601463E-2</v>
      </c>
      <c r="AT59" s="64">
        <f t="shared" si="88"/>
        <v>-4.665528295853373</v>
      </c>
      <c r="AU59" s="65">
        <f t="shared" si="89"/>
        <v>-4.0669436099351008</v>
      </c>
      <c r="AV59" s="65">
        <f t="shared" si="90"/>
        <v>49.834325215393541</v>
      </c>
      <c r="AW59" s="62">
        <f t="shared" si="91"/>
        <v>-1195.7010812269552</v>
      </c>
      <c r="AX59" s="24">
        <f t="shared" si="92"/>
        <v>-1.3203169143829072</v>
      </c>
      <c r="BF59" s="11"/>
      <c r="BG59" s="11"/>
      <c r="BK59" s="11"/>
      <c r="BL59" s="11"/>
      <c r="BM59" s="11"/>
      <c r="BN59" s="11"/>
      <c r="BR59" s="11"/>
      <c r="BT59" s="11"/>
      <c r="BU59" s="11"/>
      <c r="CF59" s="11"/>
      <c r="CM59" s="13"/>
      <c r="CN59" s="13"/>
    </row>
    <row r="60" spans="1:92" x14ac:dyDescent="0.25">
      <c r="A60" t="b">
        <v>1</v>
      </c>
      <c r="B60" s="445"/>
      <c r="C60" s="123">
        <v>2</v>
      </c>
      <c r="D60" s="12">
        <f>VLOOKUP(INPUT!$C$4,'Vehicle &amp; Track Data'!$A$4:$AD$20,C60+1,FALSE)</f>
        <v>-679</v>
      </c>
      <c r="E60" s="166">
        <f>VLOOKUP(INPUT!$C$4,'Vehicle &amp; Track Data'!$A$23:$AD$39,C60+1,FALSE)</f>
        <v>0</v>
      </c>
      <c r="F60" s="62">
        <f t="shared" si="93"/>
        <v>-679.00084988962487</v>
      </c>
      <c r="G60" s="18">
        <f t="shared" si="94"/>
        <v>0.25581395348837205</v>
      </c>
      <c r="H60" s="18">
        <f t="shared" si="95"/>
        <v>-679.00084988962487</v>
      </c>
      <c r="I60" s="18">
        <f t="shared" si="96"/>
        <v>-0.25581395348837205</v>
      </c>
      <c r="J60" s="18">
        <f t="shared" si="97"/>
        <v>-678.96917218542671</v>
      </c>
      <c r="K60" s="18">
        <f t="shared" si="98"/>
        <v>9.2790697674418592</v>
      </c>
      <c r="L60" s="18">
        <f t="shared" si="99"/>
        <v>-678.96917218542671</v>
      </c>
      <c r="M60" s="24">
        <f t="shared" si="100"/>
        <v>-9.2790697674418592</v>
      </c>
      <c r="N60" s="225">
        <f t="shared" ref="N60:N87" si="102">IF($D60&lt;&gt;0,IF(AND($D60&gt;0,$E60&gt;=$J$11),J60,IF(AND($D60&gt;0,$E60&lt;$J$11),H60,IF(AND($D60&lt;0,$E60&gt;=$J$11),F60,L60))),IF($A60,IF(E60&gt;=$J$11,$F60,L60),IF(E60&gt;=$J$11,J60,H60)))</f>
        <v>-678.96917218542671</v>
      </c>
      <c r="O60" s="280">
        <f t="shared" si="101"/>
        <v>-9.2790697674418592</v>
      </c>
      <c r="U60" s="11"/>
      <c r="V60" s="123">
        <v>5</v>
      </c>
      <c r="W60" s="327">
        <f t="shared" si="66"/>
        <v>-21.533454956726189</v>
      </c>
      <c r="X60" s="221">
        <f t="shared" si="67"/>
        <v>-4.6522245067714872E-2</v>
      </c>
      <c r="Y60" s="66">
        <f t="shared" si="68"/>
        <v>-2.665528295853373</v>
      </c>
      <c r="Z60" s="49">
        <f t="shared" si="69"/>
        <v>-1326.4439962519452</v>
      </c>
      <c r="AA60" s="34">
        <f t="shared" si="65"/>
        <v>-25.021364860596808</v>
      </c>
      <c r="AB60" s="208">
        <f t="shared" si="70"/>
        <v>163.11501562500001</v>
      </c>
      <c r="AC60" s="209">
        <f t="shared" si="71"/>
        <v>161.1183770593189</v>
      </c>
      <c r="AD60" s="209">
        <f t="shared" si="72"/>
        <v>-1489.3825272240636</v>
      </c>
      <c r="AE60" s="57">
        <f t="shared" si="73"/>
        <v>-32.607104573509453</v>
      </c>
      <c r="AF60" s="47">
        <f t="shared" si="74"/>
        <v>-1197.3805001894366</v>
      </c>
      <c r="AG60" s="19">
        <f t="shared" si="75"/>
        <v>-764.24112803829166</v>
      </c>
      <c r="AH60" s="19">
        <f t="shared" si="76"/>
        <v>1420.4874388811561</v>
      </c>
      <c r="AI60" s="19">
        <f t="shared" si="84"/>
        <v>-0.568078446115175</v>
      </c>
      <c r="AJ60" s="19">
        <f t="shared" si="85"/>
        <v>-32.548497394749482</v>
      </c>
      <c r="AK60" s="19">
        <f t="shared" si="77"/>
        <v>-34.548497394749482</v>
      </c>
      <c r="AL60" s="19">
        <f t="shared" si="86"/>
        <v>-0.60298503115506152</v>
      </c>
      <c r="AM60" s="19">
        <f t="shared" si="78"/>
        <v>-1169.9794576129716</v>
      </c>
      <c r="AN60" s="19">
        <f t="shared" si="79"/>
        <v>-805.56354981019501</v>
      </c>
      <c r="AO60" s="19">
        <f t="shared" si="80"/>
        <v>-1470.7063588232238</v>
      </c>
      <c r="AP60" s="19">
        <f t="shared" si="81"/>
        <v>-73.92952634541291</v>
      </c>
      <c r="AQ60" s="234">
        <f t="shared" si="82"/>
        <v>-1461.9814846475986</v>
      </c>
      <c r="AR60" s="235">
        <f t="shared" si="83"/>
        <v>-73.929526345412796</v>
      </c>
      <c r="AS60" s="79">
        <f t="shared" si="87"/>
        <v>-8.1428830107601463E-2</v>
      </c>
      <c r="AT60" s="64">
        <f t="shared" si="88"/>
        <v>-4.665528295853373</v>
      </c>
      <c r="AU60" s="65">
        <f t="shared" si="89"/>
        <v>-4.0669436099351008</v>
      </c>
      <c r="AV60" s="65">
        <f t="shared" si="90"/>
        <v>49.834325215393541</v>
      </c>
      <c r="AW60" s="62">
        <f t="shared" si="91"/>
        <v>-1474.773302433159</v>
      </c>
      <c r="AX60" s="24">
        <f t="shared" si="92"/>
        <v>-24.095201130019369</v>
      </c>
      <c r="BF60" s="11"/>
      <c r="BG60" s="11"/>
      <c r="BK60" s="11"/>
      <c r="BL60" s="11"/>
      <c r="BM60" s="11"/>
      <c r="BN60" s="11"/>
      <c r="BR60" s="11"/>
      <c r="BT60" s="11"/>
      <c r="BU60" s="11"/>
      <c r="CF60" s="11"/>
      <c r="CM60" s="13"/>
      <c r="CN60" s="13"/>
    </row>
    <row r="61" spans="1:92" x14ac:dyDescent="0.25">
      <c r="A61" t="b">
        <v>1</v>
      </c>
      <c r="B61" s="445"/>
      <c r="C61" s="123">
        <v>3</v>
      </c>
      <c r="D61" s="12">
        <f>VLOOKUP(INPUT!$C$4,'Vehicle &amp; Track Data'!$A$4:$AD$20,C61+1,FALSE)</f>
        <v>-940</v>
      </c>
      <c r="E61" s="166">
        <f>VLOOKUP(INPUT!$C$4,'Vehicle &amp; Track Data'!$A$23:$AD$39,C61+1,FALSE)</f>
        <v>0</v>
      </c>
      <c r="F61" s="62">
        <f t="shared" si="93"/>
        <v>-939.99508830022012</v>
      </c>
      <c r="G61" s="18">
        <f t="shared" si="94"/>
        <v>-1.4784053156146177</v>
      </c>
      <c r="H61" s="18">
        <f t="shared" si="95"/>
        <v>-939.99508830022012</v>
      </c>
      <c r="I61" s="18">
        <f t="shared" si="96"/>
        <v>1.4784053156146177</v>
      </c>
      <c r="J61" s="18">
        <f t="shared" si="97"/>
        <v>-939.96341059602196</v>
      </c>
      <c r="K61" s="18">
        <f t="shared" si="98"/>
        <v>11.013289036544849</v>
      </c>
      <c r="L61" s="18">
        <f t="shared" si="99"/>
        <v>-939.96341059602196</v>
      </c>
      <c r="M61" s="24">
        <f t="shared" si="100"/>
        <v>-11.013289036544849</v>
      </c>
      <c r="N61" s="225">
        <f t="shared" si="102"/>
        <v>-939.96341059602196</v>
      </c>
      <c r="O61" s="280">
        <f t="shared" si="101"/>
        <v>-11.013289036544849</v>
      </c>
      <c r="U61" s="11"/>
      <c r="V61" s="123">
        <v>6</v>
      </c>
      <c r="W61" s="327">
        <f t="shared" si="66"/>
        <v>160.56146886030922</v>
      </c>
      <c r="X61" s="221">
        <f t="shared" si="67"/>
        <v>-4.6522245067714872E-2</v>
      </c>
      <c r="Y61" s="66">
        <f t="shared" si="68"/>
        <v>-2.665528295853373</v>
      </c>
      <c r="Z61" s="49">
        <f t="shared" si="69"/>
        <v>-1565.1706992410918</v>
      </c>
      <c r="AA61" s="34">
        <f t="shared" si="65"/>
        <v>157.0735589564386</v>
      </c>
      <c r="AB61" s="208">
        <f t="shared" si="70"/>
        <v>163.11501562500001</v>
      </c>
      <c r="AC61" s="209">
        <f t="shared" si="71"/>
        <v>161.1183770593189</v>
      </c>
      <c r="AD61" s="209">
        <f t="shared" si="72"/>
        <v>-1728.1092302132101</v>
      </c>
      <c r="AE61" s="57">
        <f t="shared" si="73"/>
        <v>149.48781924352596</v>
      </c>
      <c r="AF61" s="47">
        <f t="shared" si="74"/>
        <v>-1436.1072031785832</v>
      </c>
      <c r="AG61" s="19">
        <f t="shared" si="75"/>
        <v>-582.14620422125631</v>
      </c>
      <c r="AH61" s="19">
        <f t="shared" si="76"/>
        <v>1549.6122425015326</v>
      </c>
      <c r="AI61" s="19">
        <f t="shared" si="84"/>
        <v>-0.3851219712593717</v>
      </c>
      <c r="AJ61" s="19">
        <f t="shared" si="85"/>
        <v>-22.065863550920589</v>
      </c>
      <c r="AK61" s="19">
        <f t="shared" si="77"/>
        <v>-24.065863550920589</v>
      </c>
      <c r="AL61" s="19">
        <f t="shared" si="86"/>
        <v>-0.42002855629925834</v>
      </c>
      <c r="AM61" s="19">
        <f t="shared" si="78"/>
        <v>-1414.9157559381315</v>
      </c>
      <c r="AN61" s="19">
        <f t="shared" si="79"/>
        <v>-631.91099508447769</v>
      </c>
      <c r="AO61" s="19">
        <f t="shared" si="80"/>
        <v>-1715.6426571483837</v>
      </c>
      <c r="AP61" s="19">
        <f t="shared" si="81"/>
        <v>99.72302838030464</v>
      </c>
      <c r="AQ61" s="234">
        <f t="shared" si="82"/>
        <v>-1706.9177829727585</v>
      </c>
      <c r="AR61" s="235">
        <f t="shared" si="83"/>
        <v>99.723028380304527</v>
      </c>
      <c r="AS61" s="79">
        <f t="shared" si="87"/>
        <v>-8.1428830107601463E-2</v>
      </c>
      <c r="AT61" s="64">
        <f t="shared" si="88"/>
        <v>-4.665528295853373</v>
      </c>
      <c r="AU61" s="65">
        <f t="shared" si="89"/>
        <v>-4.0669436099351008</v>
      </c>
      <c r="AV61" s="65">
        <f t="shared" si="90"/>
        <v>49.834325215393541</v>
      </c>
      <c r="AW61" s="62">
        <f t="shared" si="91"/>
        <v>-1719.7096007583189</v>
      </c>
      <c r="AX61" s="24">
        <f t="shared" si="92"/>
        <v>149.55735359569817</v>
      </c>
      <c r="BF61" s="11"/>
      <c r="BG61" s="11"/>
      <c r="BK61" s="11"/>
      <c r="BL61" s="11"/>
      <c r="BM61" s="11"/>
      <c r="BN61" s="11"/>
      <c r="BR61" s="11"/>
      <c r="BT61" s="11"/>
      <c r="BU61" s="11"/>
      <c r="CF61" s="11"/>
      <c r="CM61" s="13"/>
      <c r="CN61" s="13"/>
    </row>
    <row r="62" spans="1:92" x14ac:dyDescent="0.25">
      <c r="A62" t="b">
        <v>1</v>
      </c>
      <c r="B62" s="445"/>
      <c r="C62" s="123">
        <v>4</v>
      </c>
      <c r="D62" s="12">
        <f>VLOOKUP(INPUT!$C$4,'Vehicle &amp; Track Data'!$A$4:$AD$20,C62+1,FALSE)</f>
        <v>-940</v>
      </c>
      <c r="E62" s="166">
        <f>VLOOKUP(INPUT!$C$4,'Vehicle &amp; Track Data'!$A$23:$AD$39,C62+1,FALSE)</f>
        <v>152</v>
      </c>
      <c r="F62" s="62">
        <f t="shared" si="93"/>
        <v>-941.00505507762875</v>
      </c>
      <c r="G62" s="18">
        <f t="shared" si="94"/>
        <v>150.51823927599645</v>
      </c>
      <c r="H62" s="18">
        <f t="shared" si="95"/>
        <v>-938.98512152281148</v>
      </c>
      <c r="I62" s="18">
        <f t="shared" si="96"/>
        <v>153.4750499072257</v>
      </c>
      <c r="J62" s="18">
        <f t="shared" si="97"/>
        <v>-938.95344381861332</v>
      </c>
      <c r="K62" s="18">
        <f t="shared" si="98"/>
        <v>163.00993362815592</v>
      </c>
      <c r="L62" s="18">
        <f t="shared" si="99"/>
        <v>-940.97337737343059</v>
      </c>
      <c r="M62" s="24">
        <f t="shared" si="100"/>
        <v>140.98335555506623</v>
      </c>
      <c r="N62" s="225">
        <f t="shared" si="102"/>
        <v>-940.97337737343059</v>
      </c>
      <c r="O62" s="280">
        <f t="shared" si="101"/>
        <v>140.98335555506623</v>
      </c>
      <c r="U62" s="99"/>
      <c r="V62" s="123">
        <v>7</v>
      </c>
      <c r="W62" s="327">
        <f t="shared" si="66"/>
        <v>934.72294638916037</v>
      </c>
      <c r="X62" s="221">
        <f t="shared" si="67"/>
        <v>-4.6522245067714872E-2</v>
      </c>
      <c r="Y62" s="66">
        <f t="shared" si="68"/>
        <v>-2.665528295853373</v>
      </c>
      <c r="Z62" s="49">
        <f t="shared" si="69"/>
        <v>-1601.2124349144215</v>
      </c>
      <c r="AA62" s="34">
        <f t="shared" si="65"/>
        <v>931.2350364852897</v>
      </c>
      <c r="AB62" s="208">
        <f t="shared" si="70"/>
        <v>163.11501562500001</v>
      </c>
      <c r="AC62" s="209">
        <f t="shared" si="71"/>
        <v>161.1183770593189</v>
      </c>
      <c r="AD62" s="209">
        <f t="shared" si="72"/>
        <v>-1764.1509658865398</v>
      </c>
      <c r="AE62" s="57">
        <f t="shared" si="73"/>
        <v>923.64929677237706</v>
      </c>
      <c r="AF62" s="47">
        <f t="shared" si="74"/>
        <v>-1472.1489388519128</v>
      </c>
      <c r="AG62" s="19">
        <f t="shared" si="75"/>
        <v>192.01527330759484</v>
      </c>
      <c r="AH62" s="19">
        <f t="shared" si="76"/>
        <v>1484.6185918767835</v>
      </c>
      <c r="AI62" s="19">
        <f t="shared" si="84"/>
        <v>0.12969976296763658</v>
      </c>
      <c r="AJ62" s="19">
        <f t="shared" si="85"/>
        <v>7.4312490218927456</v>
      </c>
      <c r="AK62" s="19">
        <f t="shared" si="77"/>
        <v>5.4312490218927456</v>
      </c>
      <c r="AL62" s="19">
        <f t="shared" si="86"/>
        <v>9.4793177927749994E-2</v>
      </c>
      <c r="AM62" s="19">
        <f t="shared" si="78"/>
        <v>-1477.9533818921257</v>
      </c>
      <c r="AN62" s="19">
        <f t="shared" si="79"/>
        <v>140.52104575412224</v>
      </c>
      <c r="AO62" s="19">
        <f t="shared" si="80"/>
        <v>-1778.6802831023779</v>
      </c>
      <c r="AP62" s="19">
        <f t="shared" si="81"/>
        <v>872.1550692189046</v>
      </c>
      <c r="AQ62" s="234">
        <f t="shared" si="82"/>
        <v>-1769.9554089267526</v>
      </c>
      <c r="AR62" s="235">
        <f t="shared" si="83"/>
        <v>872.15506921890449</v>
      </c>
      <c r="AS62" s="79">
        <f t="shared" si="87"/>
        <v>-8.1428830107601463E-2</v>
      </c>
      <c r="AT62" s="64">
        <f t="shared" si="88"/>
        <v>-4.665528295853373</v>
      </c>
      <c r="AU62" s="65">
        <f t="shared" si="89"/>
        <v>-4.0669436099351008</v>
      </c>
      <c r="AV62" s="65">
        <f t="shared" si="90"/>
        <v>49.834325215393541</v>
      </c>
      <c r="AW62" s="62">
        <f t="shared" si="91"/>
        <v>-1782.747226712313</v>
      </c>
      <c r="AX62" s="24">
        <f t="shared" si="92"/>
        <v>921.98939443429811</v>
      </c>
      <c r="BF62" s="11"/>
      <c r="BG62" s="11"/>
      <c r="BK62" s="11"/>
      <c r="BL62" s="11"/>
      <c r="BM62" s="11"/>
      <c r="BN62" s="11"/>
      <c r="BR62" s="11"/>
      <c r="BT62" s="11"/>
      <c r="BU62" s="11"/>
      <c r="CF62" s="11"/>
      <c r="CM62" s="13"/>
      <c r="CN62" s="13"/>
    </row>
    <row r="63" spans="1:92" x14ac:dyDescent="0.25">
      <c r="A63" t="b">
        <v>1</v>
      </c>
      <c r="B63" s="445"/>
      <c r="C63" s="123">
        <v>5</v>
      </c>
      <c r="D63" s="12">
        <f>VLOOKUP(INPUT!$C$4,'Vehicle &amp; Track Data'!$A$4:$AD$20,C63+1,FALSE)</f>
        <v>-1220</v>
      </c>
      <c r="E63" s="166">
        <f>VLOOKUP(INPUT!$C$4,'Vehicle &amp; Track Data'!$A$23:$AD$39,C63+1,FALSE)</f>
        <v>152</v>
      </c>
      <c r="F63" s="62">
        <f t="shared" si="93"/>
        <v>-1220.9988740621754</v>
      </c>
      <c r="G63" s="18">
        <f t="shared" si="94"/>
        <v>148.65777415971738</v>
      </c>
      <c r="H63" s="18">
        <f t="shared" si="95"/>
        <v>-1218.9789405073582</v>
      </c>
      <c r="I63" s="18">
        <f t="shared" si="96"/>
        <v>155.33551502350477</v>
      </c>
      <c r="J63" s="18">
        <f t="shared" si="97"/>
        <v>-1218.9472628031601</v>
      </c>
      <c r="K63" s="18">
        <f t="shared" si="98"/>
        <v>164.87039874443499</v>
      </c>
      <c r="L63" s="18">
        <f t="shared" si="99"/>
        <v>-1220.9671963579774</v>
      </c>
      <c r="M63" s="24">
        <f t="shared" si="100"/>
        <v>139.12289043878715</v>
      </c>
      <c r="N63" s="225">
        <f t="shared" si="102"/>
        <v>-1220.9671963579774</v>
      </c>
      <c r="O63" s="280">
        <f t="shared" si="101"/>
        <v>139.12289043878715</v>
      </c>
      <c r="U63" s="99"/>
      <c r="V63" s="123">
        <v>8</v>
      </c>
      <c r="W63" s="327">
        <f t="shared" si="66"/>
        <v>933.09525510068715</v>
      </c>
      <c r="X63" s="221">
        <f t="shared" si="67"/>
        <v>-4.6522245067714872E-2</v>
      </c>
      <c r="Y63" s="66">
        <f t="shared" si="68"/>
        <v>-2.665528295853373</v>
      </c>
      <c r="Z63" s="49">
        <f t="shared" si="69"/>
        <v>-1636.1745661576601</v>
      </c>
      <c r="AA63" s="34">
        <f t="shared" si="65"/>
        <v>929.60734519681648</v>
      </c>
      <c r="AB63" s="208">
        <f t="shared" si="70"/>
        <v>163.11501562500001</v>
      </c>
      <c r="AC63" s="209">
        <f t="shared" si="71"/>
        <v>161.1183770593189</v>
      </c>
      <c r="AD63" s="209">
        <f t="shared" si="72"/>
        <v>-1799.1130971297785</v>
      </c>
      <c r="AE63" s="57">
        <f t="shared" si="73"/>
        <v>922.02160548390384</v>
      </c>
      <c r="AF63" s="47">
        <f t="shared" si="74"/>
        <v>-1507.1110700951515</v>
      </c>
      <c r="AG63" s="19">
        <f t="shared" si="75"/>
        <v>190.38758201912162</v>
      </c>
      <c r="AH63" s="19">
        <f t="shared" si="76"/>
        <v>1519.0889404476752</v>
      </c>
      <c r="AI63" s="19">
        <f t="shared" si="84"/>
        <v>0.12566055643551985</v>
      </c>
      <c r="AJ63" s="19">
        <f t="shared" si="85"/>
        <v>7.199819535020783</v>
      </c>
      <c r="AK63" s="19">
        <f t="shared" si="77"/>
        <v>5.199819535020783</v>
      </c>
      <c r="AL63" s="19">
        <f t="shared" si="86"/>
        <v>9.0753971395633251E-2</v>
      </c>
      <c r="AM63" s="19">
        <f t="shared" si="78"/>
        <v>-1512.8374095429012</v>
      </c>
      <c r="AN63" s="19">
        <f t="shared" si="79"/>
        <v>137.67418522716741</v>
      </c>
      <c r="AO63" s="19">
        <f t="shared" si="80"/>
        <v>-1813.5643107531534</v>
      </c>
      <c r="AP63" s="19">
        <f t="shared" si="81"/>
        <v>869.30820869194963</v>
      </c>
      <c r="AQ63" s="234">
        <f t="shared" si="82"/>
        <v>-1804.8394365775282</v>
      </c>
      <c r="AR63" s="235">
        <f t="shared" si="83"/>
        <v>869.30820869194963</v>
      </c>
      <c r="AS63" s="79">
        <f t="shared" si="87"/>
        <v>-8.1428830107601463E-2</v>
      </c>
      <c r="AT63" s="64">
        <f t="shared" si="88"/>
        <v>-4.665528295853373</v>
      </c>
      <c r="AU63" s="65">
        <f t="shared" si="89"/>
        <v>-4.0669436099351008</v>
      </c>
      <c r="AV63" s="65">
        <f t="shared" si="90"/>
        <v>49.834325215393541</v>
      </c>
      <c r="AW63" s="62">
        <f t="shared" si="91"/>
        <v>-1817.6312543630886</v>
      </c>
      <c r="AX63" s="24">
        <f t="shared" si="92"/>
        <v>919.14253390734314</v>
      </c>
      <c r="BF63" s="11"/>
      <c r="BG63" s="11"/>
      <c r="BK63" s="11"/>
      <c r="BL63" s="11"/>
      <c r="BM63" s="11"/>
      <c r="BN63" s="11"/>
      <c r="BR63" s="11"/>
      <c r="BT63" s="11"/>
      <c r="BU63" s="11"/>
      <c r="CF63" s="11"/>
      <c r="CM63" s="13"/>
      <c r="CN63" s="13"/>
    </row>
    <row r="64" spans="1:92" x14ac:dyDescent="0.25">
      <c r="A64" t="b">
        <v>1</v>
      </c>
      <c r="B64" s="445"/>
      <c r="C64" s="123">
        <v>6</v>
      </c>
      <c r="D64" s="12">
        <f>VLOOKUP(INPUT!$C$4,'Vehicle &amp; Track Data'!$A$4:$AD$20,C64+1,FALSE)</f>
        <v>-1450</v>
      </c>
      <c r="E64" s="166">
        <f>VLOOKUP(INPUT!$C$4,'Vehicle &amp; Track Data'!$A$23:$AD$39,C64+1,FALSE)</f>
        <v>345</v>
      </c>
      <c r="F64" s="62">
        <f t="shared" si="93"/>
        <v>-1452.2761888260598</v>
      </c>
      <c r="G64" s="18">
        <f t="shared" si="94"/>
        <v>340.12527447140786</v>
      </c>
      <c r="H64" s="18">
        <f t="shared" si="95"/>
        <v>-1447.6914712180865</v>
      </c>
      <c r="I64" s="18">
        <f t="shared" si="96"/>
        <v>349.8594937405108</v>
      </c>
      <c r="J64" s="18">
        <f t="shared" si="97"/>
        <v>-1447.6597935138884</v>
      </c>
      <c r="K64" s="18">
        <f t="shared" si="98"/>
        <v>359.39437746144108</v>
      </c>
      <c r="L64" s="18">
        <f t="shared" si="99"/>
        <v>-1452.2445111218617</v>
      </c>
      <c r="M64" s="24">
        <f t="shared" si="100"/>
        <v>330.59039075047758</v>
      </c>
      <c r="N64" s="225">
        <f t="shared" si="102"/>
        <v>-1452.2445111218617</v>
      </c>
      <c r="O64" s="280">
        <f t="shared" si="101"/>
        <v>330.59039075047758</v>
      </c>
      <c r="U64" s="99"/>
      <c r="V64" s="123">
        <v>9</v>
      </c>
      <c r="W64" s="327">
        <f t="shared" si="66"/>
        <v>3390.4336224825893</v>
      </c>
      <c r="X64" s="221">
        <f t="shared" si="67"/>
        <v>-4.6522245067714872E-2</v>
      </c>
      <c r="Y64" s="66">
        <f t="shared" si="68"/>
        <v>-2.665528295853373</v>
      </c>
      <c r="Z64" s="49">
        <f t="shared" si="69"/>
        <v>-1750.5780110046164</v>
      </c>
      <c r="AA64" s="34">
        <f t="shared" si="65"/>
        <v>3386.9457125787185</v>
      </c>
      <c r="AB64" s="208">
        <f t="shared" si="70"/>
        <v>163.11501562500001</v>
      </c>
      <c r="AC64" s="209">
        <f t="shared" si="71"/>
        <v>161.1183770593189</v>
      </c>
      <c r="AD64" s="209">
        <f t="shared" si="72"/>
        <v>-1913.5165419767347</v>
      </c>
      <c r="AE64" s="57">
        <f t="shared" si="73"/>
        <v>3379.359972865806</v>
      </c>
      <c r="AF64" s="47">
        <f t="shared" si="74"/>
        <v>-1621.5145149421078</v>
      </c>
      <c r="AG64" s="19">
        <f t="shared" si="75"/>
        <v>2647.7259494010236</v>
      </c>
      <c r="AH64" s="19">
        <f t="shared" si="76"/>
        <v>3104.7966157704263</v>
      </c>
      <c r="AI64" s="19">
        <f t="shared" si="84"/>
        <v>1.0212960866353178</v>
      </c>
      <c r="AJ64" s="19">
        <f t="shared" si="85"/>
        <v>58.515955397430993</v>
      </c>
      <c r="AK64" s="19">
        <f t="shared" si="77"/>
        <v>56.515955397430993</v>
      </c>
      <c r="AL64" s="19">
        <f t="shared" si="86"/>
        <v>0.98638950159543126</v>
      </c>
      <c r="AM64" s="19">
        <f t="shared" si="78"/>
        <v>-1712.9310351517083</v>
      </c>
      <c r="AN64" s="19">
        <f t="shared" si="79"/>
        <v>2589.5229858245298</v>
      </c>
      <c r="AO64" s="19">
        <f t="shared" si="80"/>
        <v>-2013.6579363619605</v>
      </c>
      <c r="AP64" s="19">
        <f t="shared" si="81"/>
        <v>3321.1570092893121</v>
      </c>
      <c r="AQ64" s="234">
        <f t="shared" si="82"/>
        <v>-2004.9330621863353</v>
      </c>
      <c r="AR64" s="235">
        <f t="shared" si="83"/>
        <v>3321.1570092893121</v>
      </c>
      <c r="AS64" s="79">
        <f t="shared" si="87"/>
        <v>-8.1428830107601463E-2</v>
      </c>
      <c r="AT64" s="64">
        <f t="shared" si="88"/>
        <v>-4.665528295853373</v>
      </c>
      <c r="AU64" s="65">
        <f t="shared" si="89"/>
        <v>-4.0669436099351008</v>
      </c>
      <c r="AV64" s="65">
        <f t="shared" si="90"/>
        <v>49.834325215393541</v>
      </c>
      <c r="AW64" s="62">
        <f t="shared" si="91"/>
        <v>-2017.7248799718957</v>
      </c>
      <c r="AX64" s="24">
        <f t="shared" si="92"/>
        <v>3370.9913345047057</v>
      </c>
      <c r="BF64" s="11"/>
      <c r="BG64" s="11"/>
      <c r="BK64" s="11"/>
      <c r="BL64" s="11"/>
      <c r="BM64" s="11"/>
      <c r="BN64" s="11"/>
      <c r="BR64" s="11"/>
      <c r="BT64" s="11"/>
      <c r="BU64" s="11"/>
      <c r="CF64" s="11"/>
      <c r="CM64" s="13"/>
      <c r="CN64" s="13"/>
    </row>
    <row r="65" spans="1:92" x14ac:dyDescent="0.25">
      <c r="A65" t="b">
        <v>1</v>
      </c>
      <c r="B65" s="445"/>
      <c r="C65" s="123">
        <v>7</v>
      </c>
      <c r="D65" s="12">
        <f>VLOOKUP(INPUT!$C$4,'Vehicle &amp; Track Data'!$A$4:$AD$20,C65+1,FALSE)</f>
        <v>-1450</v>
      </c>
      <c r="E65" s="166">
        <f>VLOOKUP(INPUT!$C$4,'Vehicle &amp; Track Data'!$A$23:$AD$39,C65+1,FALSE)</f>
        <v>1120</v>
      </c>
      <c r="F65" s="62">
        <f t="shared" si="93"/>
        <v>-1457.4256904871893</v>
      </c>
      <c r="G65" s="18">
        <f t="shared" si="94"/>
        <v>1115.1081663036352</v>
      </c>
      <c r="H65" s="18">
        <f t="shared" si="95"/>
        <v>-1442.5419695569569</v>
      </c>
      <c r="I65" s="18">
        <f t="shared" si="96"/>
        <v>1124.8423855727383</v>
      </c>
      <c r="J65" s="18">
        <f t="shared" si="97"/>
        <v>-1442.5102918527589</v>
      </c>
      <c r="K65" s="18">
        <f t="shared" si="98"/>
        <v>1134.3772692936684</v>
      </c>
      <c r="L65" s="18">
        <f t="shared" si="99"/>
        <v>-1457.3940127829912</v>
      </c>
      <c r="M65" s="24">
        <f t="shared" si="100"/>
        <v>1105.5732825827051</v>
      </c>
      <c r="N65" s="225">
        <f t="shared" si="102"/>
        <v>-1457.3940127829912</v>
      </c>
      <c r="O65" s="280">
        <f t="shared" si="101"/>
        <v>1105.5732825827051</v>
      </c>
      <c r="U65" s="261"/>
      <c r="V65" s="123">
        <v>10</v>
      </c>
      <c r="W65" s="327">
        <f t="shared" si="66"/>
        <v>3736.998866783139</v>
      </c>
      <c r="X65" s="221">
        <f t="shared" si="67"/>
        <v>-4.6522245067714872E-2</v>
      </c>
      <c r="Y65" s="66">
        <f t="shared" si="68"/>
        <v>-2.665528295853373</v>
      </c>
      <c r="Z65" s="49">
        <f t="shared" si="69"/>
        <v>-1531.4581090264983</v>
      </c>
      <c r="AA65" s="34">
        <f t="shared" si="65"/>
        <v>3733.5109568792682</v>
      </c>
      <c r="AB65" s="208">
        <f t="shared" si="70"/>
        <v>163.11501562500001</v>
      </c>
      <c r="AC65" s="209">
        <f t="shared" si="71"/>
        <v>161.1183770593189</v>
      </c>
      <c r="AD65" s="209">
        <f t="shared" si="72"/>
        <v>-1694.3966399986166</v>
      </c>
      <c r="AE65" s="57">
        <f t="shared" si="73"/>
        <v>3725.9252171663557</v>
      </c>
      <c r="AF65" s="47">
        <f t="shared" si="74"/>
        <v>-1402.3946129639896</v>
      </c>
      <c r="AG65" s="19">
        <f t="shared" si="75"/>
        <v>2994.2911937015733</v>
      </c>
      <c r="AH65" s="19">
        <f t="shared" si="76"/>
        <v>3306.4316722335593</v>
      </c>
      <c r="AI65" s="19">
        <f t="shared" si="84"/>
        <v>1.1327827386423508</v>
      </c>
      <c r="AJ65" s="19">
        <f t="shared" si="85"/>
        <v>64.903670029477695</v>
      </c>
      <c r="AK65" s="19">
        <f t="shared" si="77"/>
        <v>62.903670029477695</v>
      </c>
      <c r="AL65" s="19">
        <f t="shared" si="86"/>
        <v>1.0978761536024644</v>
      </c>
      <c r="AM65" s="19">
        <f t="shared" si="78"/>
        <v>-1506.0395676981213</v>
      </c>
      <c r="AN65" s="19">
        <f t="shared" si="79"/>
        <v>2943.5242862386694</v>
      </c>
      <c r="AO65" s="19">
        <f t="shared" si="80"/>
        <v>-1806.7664689083745</v>
      </c>
      <c r="AP65" s="19">
        <f t="shared" si="81"/>
        <v>3675.1583097034513</v>
      </c>
      <c r="AQ65" s="234">
        <f t="shared" si="82"/>
        <v>-1798.0415947327483</v>
      </c>
      <c r="AR65" s="235">
        <f t="shared" si="83"/>
        <v>3675.1583097034518</v>
      </c>
      <c r="AS65" s="79">
        <f t="shared" si="87"/>
        <v>-8.1428830107601463E-2</v>
      </c>
      <c r="AT65" s="64">
        <f t="shared" si="88"/>
        <v>-4.665528295853373</v>
      </c>
      <c r="AU65" s="65">
        <f t="shared" si="89"/>
        <v>-4.0669436099351008</v>
      </c>
      <c r="AV65" s="65">
        <f t="shared" si="90"/>
        <v>49.834325215393541</v>
      </c>
      <c r="AW65" s="62">
        <f t="shared" si="91"/>
        <v>-1810.8334125183096</v>
      </c>
      <c r="AX65" s="24">
        <f t="shared" si="92"/>
        <v>3724.9926349188449</v>
      </c>
      <c r="BF65" s="11"/>
      <c r="BG65" s="11"/>
      <c r="BK65" s="11"/>
      <c r="BL65" s="11"/>
      <c r="BM65" s="11"/>
      <c r="BN65" s="11"/>
      <c r="BR65" s="11"/>
      <c r="BT65" s="11"/>
      <c r="BU65" s="11"/>
      <c r="CF65" s="11"/>
      <c r="CM65" s="13"/>
      <c r="CN65" s="13"/>
    </row>
    <row r="66" spans="1:92" x14ac:dyDescent="0.25">
      <c r="A66" t="b">
        <v>1</v>
      </c>
      <c r="B66" s="445"/>
      <c r="C66" s="123">
        <v>8</v>
      </c>
      <c r="D66" s="12">
        <f>VLOOKUP(INPUT!$C$4,'Vehicle &amp; Track Data'!$A$4:$AD$20,C66+1,FALSE)</f>
        <v>-1485</v>
      </c>
      <c r="E66" s="166">
        <f>VLOOKUP(INPUT!$C$4,'Vehicle &amp; Track Data'!$A$23:$AD$39,C66+1,FALSE)</f>
        <v>1120</v>
      </c>
      <c r="F66" s="62">
        <f t="shared" si="93"/>
        <v>-1492.4249178602574</v>
      </c>
      <c r="G66" s="18">
        <f t="shared" si="94"/>
        <v>1114.8756081641004</v>
      </c>
      <c r="H66" s="18">
        <f t="shared" si="95"/>
        <v>-1477.5411969300251</v>
      </c>
      <c r="I66" s="18">
        <f t="shared" si="96"/>
        <v>1125.0749437122731</v>
      </c>
      <c r="J66" s="18">
        <f t="shared" si="97"/>
        <v>-1477.509519225827</v>
      </c>
      <c r="K66" s="18">
        <f t="shared" si="98"/>
        <v>1134.6098274332035</v>
      </c>
      <c r="L66" s="18">
        <f t="shared" si="99"/>
        <v>-1492.3932401560594</v>
      </c>
      <c r="M66" s="24">
        <f t="shared" si="100"/>
        <v>1105.3407244431701</v>
      </c>
      <c r="N66" s="225">
        <f t="shared" si="102"/>
        <v>-1492.3932401560594</v>
      </c>
      <c r="O66" s="280">
        <f t="shared" si="101"/>
        <v>1105.3407244431701</v>
      </c>
      <c r="U66" s="261"/>
      <c r="V66" s="123">
        <v>11</v>
      </c>
      <c r="W66" s="327">
        <f t="shared" si="66"/>
        <v>3869.4682142839692</v>
      </c>
      <c r="X66" s="221">
        <f t="shared" si="67"/>
        <v>-4.6522245067714872E-2</v>
      </c>
      <c r="Y66" s="66">
        <f t="shared" si="68"/>
        <v>-2.665528295853373</v>
      </c>
      <c r="Z66" s="49">
        <f t="shared" si="69"/>
        <v>-1352.4249501628278</v>
      </c>
      <c r="AA66" s="34">
        <f t="shared" si="65"/>
        <v>3865.9803043800985</v>
      </c>
      <c r="AB66" s="208">
        <f t="shared" si="70"/>
        <v>163.11501562500001</v>
      </c>
      <c r="AC66" s="209">
        <f t="shared" si="71"/>
        <v>161.1183770593189</v>
      </c>
      <c r="AD66" s="209">
        <f t="shared" si="72"/>
        <v>-1515.3634811349461</v>
      </c>
      <c r="AE66" s="57">
        <f t="shared" si="73"/>
        <v>3858.3945646671859</v>
      </c>
      <c r="AF66" s="47">
        <f t="shared" si="74"/>
        <v>-1223.3614541003192</v>
      </c>
      <c r="AG66" s="19">
        <f t="shared" si="75"/>
        <v>3126.7605412024036</v>
      </c>
      <c r="AH66" s="19">
        <f t="shared" si="76"/>
        <v>3357.5652978607573</v>
      </c>
      <c r="AI66" s="19">
        <f t="shared" si="84"/>
        <v>1.1978511904004825</v>
      </c>
      <c r="AJ66" s="19">
        <f t="shared" si="85"/>
        <v>68.631817694669238</v>
      </c>
      <c r="AK66" s="19">
        <f t="shared" si="77"/>
        <v>66.631817694669238</v>
      </c>
      <c r="AL66" s="19">
        <f t="shared" si="86"/>
        <v>1.1629446053605959</v>
      </c>
      <c r="AM66" s="19">
        <f t="shared" si="78"/>
        <v>-1331.7385845538049</v>
      </c>
      <c r="AN66" s="19">
        <f>AH66*SIN(AL66)</f>
        <v>3082.1611041296046</v>
      </c>
      <c r="AO66" s="19">
        <f t="shared" si="80"/>
        <v>-1632.4654857640571</v>
      </c>
      <c r="AP66" s="19">
        <f t="shared" si="81"/>
        <v>3813.7951275943869</v>
      </c>
      <c r="AQ66" s="234">
        <f t="shared" si="82"/>
        <v>-1623.7406115884319</v>
      </c>
      <c r="AR66" s="235">
        <f t="shared" si="83"/>
        <v>3813.7951275943869</v>
      </c>
      <c r="AS66" s="79">
        <f t="shared" si="87"/>
        <v>-8.1428830107601463E-2</v>
      </c>
      <c r="AT66" s="64">
        <f t="shared" si="88"/>
        <v>-4.665528295853373</v>
      </c>
      <c r="AU66" s="65">
        <f t="shared" si="89"/>
        <v>-4.0669436099351008</v>
      </c>
      <c r="AV66" s="65">
        <f t="shared" si="90"/>
        <v>49.834325215393541</v>
      </c>
      <c r="AW66" s="62">
        <f t="shared" si="91"/>
        <v>-1636.5324293739923</v>
      </c>
      <c r="AX66" s="24">
        <f t="shared" si="92"/>
        <v>3863.6294528097806</v>
      </c>
      <c r="BF66" s="11"/>
      <c r="BG66" s="11"/>
      <c r="BK66" s="11"/>
      <c r="BL66" s="11"/>
      <c r="BM66" s="11"/>
      <c r="BN66" s="11"/>
      <c r="BR66" s="11"/>
      <c r="BT66" s="11"/>
      <c r="BU66" s="11"/>
      <c r="CF66" s="11"/>
      <c r="CM66" s="13"/>
      <c r="CN66" s="13"/>
    </row>
    <row r="67" spans="1:92" x14ac:dyDescent="0.25">
      <c r="A67" t="b">
        <v>1</v>
      </c>
      <c r="B67" s="445"/>
      <c r="C67" s="123">
        <v>9</v>
      </c>
      <c r="D67" s="12">
        <f>VLOOKUP(INPUT!$C$4,'Vehicle &amp; Track Data'!$A$4:$AD$20,C67+1,FALSE)</f>
        <v>-1485</v>
      </c>
      <c r="E67" s="166">
        <f>VLOOKUP(INPUT!$C$4,'Vehicle &amp; Track Data'!$A$23:$AD$39,C67+1,FALSE)</f>
        <v>3580</v>
      </c>
      <c r="F67" s="62">
        <f t="shared" si="93"/>
        <v>-1508.7704328104237</v>
      </c>
      <c r="G67" s="18">
        <f t="shared" si="94"/>
        <v>3574.821303528332</v>
      </c>
      <c r="H67" s="18">
        <f t="shared" si="95"/>
        <v>-1461.1956819798588</v>
      </c>
      <c r="I67" s="18">
        <f t="shared" si="96"/>
        <v>3585.0206390765047</v>
      </c>
      <c r="J67" s="18">
        <f t="shared" si="97"/>
        <v>-1461.1640042756608</v>
      </c>
      <c r="K67" s="18">
        <f t="shared" si="98"/>
        <v>3594.5555227974351</v>
      </c>
      <c r="L67" s="18">
        <f t="shared" si="99"/>
        <v>-1508.7387551062257</v>
      </c>
      <c r="M67" s="24">
        <f t="shared" si="100"/>
        <v>3565.2864198074017</v>
      </c>
      <c r="N67" s="225">
        <f t="shared" si="102"/>
        <v>-1508.7704328104237</v>
      </c>
      <c r="O67" s="280">
        <f t="shared" si="101"/>
        <v>3574.821303528332</v>
      </c>
      <c r="U67" s="261"/>
      <c r="V67" s="123">
        <v>12</v>
      </c>
      <c r="W67" s="327">
        <f t="shared" si="66"/>
        <v>4033.4900865545405</v>
      </c>
      <c r="X67" s="221">
        <f t="shared" si="67"/>
        <v>-4.6522245067714872E-2</v>
      </c>
      <c r="Y67" s="66">
        <f t="shared" si="68"/>
        <v>-2.665528295853373</v>
      </c>
      <c r="Z67" s="49">
        <f t="shared" si="69"/>
        <v>-1054.7307691366343</v>
      </c>
      <c r="AA67" s="34">
        <f t="shared" si="65"/>
        <v>4030.0021766506698</v>
      </c>
      <c r="AB67" s="208">
        <f t="shared" si="70"/>
        <v>163.11501562500001</v>
      </c>
      <c r="AC67" s="209">
        <f t="shared" si="71"/>
        <v>161.1183770593189</v>
      </c>
      <c r="AD67" s="209">
        <f t="shared" si="72"/>
        <v>-1217.6693001087526</v>
      </c>
      <c r="AE67" s="57">
        <f t="shared" si="73"/>
        <v>4022.4164369377572</v>
      </c>
      <c r="AF67" s="47">
        <f t="shared" si="74"/>
        <v>-925.66727307412566</v>
      </c>
      <c r="AG67" s="19">
        <f t="shared" si="75"/>
        <v>3290.7824134729749</v>
      </c>
      <c r="AH67" s="19">
        <f t="shared" si="76"/>
        <v>3418.4951065144887</v>
      </c>
      <c r="AI67" s="19">
        <f t="shared" si="84"/>
        <v>1.296590938617495</v>
      </c>
      <c r="AJ67" s="19">
        <f t="shared" si="85"/>
        <v>74.289188537688446</v>
      </c>
      <c r="AK67" s="19">
        <f t="shared" si="77"/>
        <v>72.289188537688446</v>
      </c>
      <c r="AL67" s="19">
        <f t="shared" si="86"/>
        <v>1.2616843535776083</v>
      </c>
      <c r="AM67" s="19">
        <f t="shared" si="78"/>
        <v>-1039.9500315697092</v>
      </c>
      <c r="AN67" s="19">
        <f>AH67*SIN(AL67)</f>
        <v>3256.4724357963887</v>
      </c>
      <c r="AO67" s="19">
        <f t="shared" si="80"/>
        <v>-1340.6769327799623</v>
      </c>
      <c r="AP67" s="19">
        <f t="shared" si="81"/>
        <v>3988.106459261171</v>
      </c>
      <c r="AQ67" s="234">
        <f t="shared" si="82"/>
        <v>-1331.9520586043361</v>
      </c>
      <c r="AR67" s="235">
        <f t="shared" si="83"/>
        <v>3988.106459261171</v>
      </c>
      <c r="AS67" s="79">
        <f t="shared" si="87"/>
        <v>-8.1428830107601463E-2</v>
      </c>
      <c r="AT67" s="64">
        <f t="shared" si="88"/>
        <v>-4.665528295853373</v>
      </c>
      <c r="AU67" s="65">
        <f t="shared" si="89"/>
        <v>-4.0669436099351008</v>
      </c>
      <c r="AV67" s="65">
        <f t="shared" si="90"/>
        <v>49.834325215393541</v>
      </c>
      <c r="AW67" s="62">
        <f t="shared" si="91"/>
        <v>-1344.7438763898974</v>
      </c>
      <c r="AX67" s="24">
        <f t="shared" si="92"/>
        <v>4037.9407844765647</v>
      </c>
      <c r="BF67" s="11"/>
      <c r="BG67" s="11"/>
      <c r="BK67" s="11"/>
      <c r="BL67" s="11"/>
      <c r="BM67" s="11"/>
      <c r="BN67" s="11"/>
      <c r="BR67" s="11"/>
      <c r="BT67" s="11"/>
      <c r="BU67" s="11"/>
      <c r="CF67" s="11"/>
      <c r="CM67" s="13"/>
      <c r="CN67" s="13"/>
    </row>
    <row r="68" spans="1:92" x14ac:dyDescent="0.25">
      <c r="A68" t="b">
        <v>1</v>
      </c>
      <c r="B68" s="445"/>
      <c r="C68" s="123">
        <v>10</v>
      </c>
      <c r="D68" s="12">
        <f>VLOOKUP(INPUT!$C$4,'Vehicle &amp; Track Data'!$A$4:$AD$20,C68+1,FALSE)</f>
        <v>-1250</v>
      </c>
      <c r="E68" s="166">
        <f>VLOOKUP(INPUT!$C$4,'Vehicle &amp; Track Data'!$A$23:$AD$39,C68+1,FALSE)</f>
        <v>3916</v>
      </c>
      <c r="F68" s="62">
        <f t="shared" si="93"/>
        <v>-1276.0081785879283</v>
      </c>
      <c r="G68" s="18">
        <f t="shared" si="94"/>
        <v>3912.3753481038084</v>
      </c>
      <c r="H68" s="18">
        <f t="shared" si="95"/>
        <v>-1223.9683114782938</v>
      </c>
      <c r="I68" s="18">
        <f t="shared" si="96"/>
        <v>3919.451760063941</v>
      </c>
      <c r="J68" s="18">
        <f t="shared" si="97"/>
        <v>-1223.9366337740958</v>
      </c>
      <c r="K68" s="18">
        <f t="shared" si="98"/>
        <v>3928.9866437848714</v>
      </c>
      <c r="L68" s="18">
        <f t="shared" si="99"/>
        <v>-1275.9765008837303</v>
      </c>
      <c r="M68" s="24">
        <f t="shared" si="100"/>
        <v>3902.8404643828781</v>
      </c>
      <c r="N68" s="225">
        <f t="shared" si="102"/>
        <v>-1276.0081785879283</v>
      </c>
      <c r="O68" s="280">
        <f t="shared" si="101"/>
        <v>3912.3753481038084</v>
      </c>
      <c r="U68" s="261"/>
      <c r="V68" s="123">
        <v>13</v>
      </c>
      <c r="W68" s="327">
        <f t="shared" si="66"/>
        <v>4127.5876963386363</v>
      </c>
      <c r="X68" s="221">
        <f t="shared" si="67"/>
        <v>-4.6522245067714872E-2</v>
      </c>
      <c r="Y68" s="66">
        <f t="shared" si="68"/>
        <v>-2.665528295853373</v>
      </c>
      <c r="Z68" s="49">
        <f t="shared" si="69"/>
        <v>-753.7812055334947</v>
      </c>
      <c r="AA68" s="34">
        <f t="shared" si="65"/>
        <v>4124.0997864347655</v>
      </c>
      <c r="AB68" s="208">
        <f t="shared" si="70"/>
        <v>163.11501562500001</v>
      </c>
      <c r="AC68" s="209">
        <f t="shared" si="71"/>
        <v>161.1183770593189</v>
      </c>
      <c r="AD68" s="209">
        <f t="shared" si="72"/>
        <v>-916.7197365056129</v>
      </c>
      <c r="AE68" s="57">
        <f t="shared" si="73"/>
        <v>4116.5140467218525</v>
      </c>
      <c r="AF68" s="47">
        <f t="shared" si="74"/>
        <v>-624.71770947098594</v>
      </c>
      <c r="AG68" s="19">
        <f t="shared" si="75"/>
        <v>3384.8800232570702</v>
      </c>
      <c r="AH68" s="19">
        <f t="shared" si="76"/>
        <v>3442.0466278613162</v>
      </c>
      <c r="AI68" s="19">
        <f t="shared" si="84"/>
        <v>1.3882888184568147</v>
      </c>
      <c r="AJ68" s="19">
        <f t="shared" si="85"/>
        <v>79.543090042779227</v>
      </c>
      <c r="AK68" s="19">
        <f t="shared" si="77"/>
        <v>77.543090042779227</v>
      </c>
      <c r="AL68" s="19">
        <f t="shared" si="86"/>
        <v>1.3533822334169281</v>
      </c>
      <c r="AM68" s="19">
        <f t="shared" si="78"/>
        <v>-742.46775753170425</v>
      </c>
      <c r="AN68" s="19">
        <f>AH68*SIN(AL68)</f>
        <v>3361.0157121616226</v>
      </c>
      <c r="AO68" s="19">
        <f t="shared" si="80"/>
        <v>-1043.1946587419575</v>
      </c>
      <c r="AP68" s="19">
        <f t="shared" si="81"/>
        <v>4092.6497356264049</v>
      </c>
      <c r="AQ68" s="234">
        <f t="shared" si="82"/>
        <v>-1034.4697845663313</v>
      </c>
      <c r="AR68" s="235">
        <f t="shared" si="83"/>
        <v>4092.6497356264049</v>
      </c>
      <c r="AS68" s="79">
        <f t="shared" si="87"/>
        <v>-8.1428830107601463E-2</v>
      </c>
      <c r="AT68" s="64">
        <f t="shared" si="88"/>
        <v>-4.665528295853373</v>
      </c>
      <c r="AU68" s="65">
        <f t="shared" si="89"/>
        <v>-4.0669436099351008</v>
      </c>
      <c r="AV68" s="65">
        <f t="shared" si="90"/>
        <v>49.834325215393541</v>
      </c>
      <c r="AW68" s="62">
        <f t="shared" si="91"/>
        <v>-1047.2616023518926</v>
      </c>
      <c r="AX68" s="24">
        <f t="shared" si="92"/>
        <v>4142.4840608417981</v>
      </c>
      <c r="CM68" s="13"/>
      <c r="CN68" s="13"/>
    </row>
    <row r="69" spans="1:92" ht="12" thickBot="1" x14ac:dyDescent="0.3">
      <c r="A69" t="b">
        <v>1</v>
      </c>
      <c r="B69" s="445"/>
      <c r="C69" s="123">
        <v>11</v>
      </c>
      <c r="D69" s="12">
        <f>VLOOKUP(INPUT!$C$4,'Vehicle &amp; Track Data'!$A$4:$AD$20,C69+1,FALSE)</f>
        <v>-1065</v>
      </c>
      <c r="E69" s="166">
        <f>VLOOKUP(INPUT!$C$4,'Vehicle &amp; Track Data'!$A$23:$AD$39,C69+1,FALSE)</f>
        <v>4040</v>
      </c>
      <c r="F69" s="62">
        <f t="shared" si="93"/>
        <v>-1091.8361827389194</v>
      </c>
      <c r="G69" s="18">
        <f t="shared" si="94"/>
        <v>4037.601846677363</v>
      </c>
      <c r="H69" s="18">
        <f t="shared" si="95"/>
        <v>-1038.1484750977233</v>
      </c>
      <c r="I69" s="18">
        <f t="shared" si="96"/>
        <v>4042.2197868766989</v>
      </c>
      <c r="J69" s="18">
        <f t="shared" si="97"/>
        <v>-1038.1167973935251</v>
      </c>
      <c r="K69" s="18">
        <f t="shared" si="98"/>
        <v>4051.7546705976288</v>
      </c>
      <c r="L69" s="18">
        <f t="shared" si="99"/>
        <v>-1091.8045050347212</v>
      </c>
      <c r="M69" s="24">
        <f t="shared" si="100"/>
        <v>4028.0669629564331</v>
      </c>
      <c r="N69" s="225">
        <f t="shared" si="102"/>
        <v>-1091.8361827389194</v>
      </c>
      <c r="O69" s="280">
        <f t="shared" si="101"/>
        <v>4037.601846677363</v>
      </c>
      <c r="U69" s="261"/>
      <c r="V69" s="124">
        <v>14</v>
      </c>
      <c r="W69" s="327">
        <f t="shared" si="66"/>
        <v>4148.7476830887854</v>
      </c>
      <c r="X69" s="221">
        <f t="shared" si="67"/>
        <v>-4.6522245067714872E-2</v>
      </c>
      <c r="Y69" s="66">
        <f t="shared" si="68"/>
        <v>-2.665528295853373</v>
      </c>
      <c r="Z69" s="49">
        <f t="shared" si="69"/>
        <v>-299.27349937139496</v>
      </c>
      <c r="AA69" s="35">
        <f t="shared" si="65"/>
        <v>4145.2597731849146</v>
      </c>
      <c r="AB69" s="307">
        <f t="shared" si="70"/>
        <v>163.11501562500001</v>
      </c>
      <c r="AC69" s="119">
        <f t="shared" si="71"/>
        <v>161.1183770593189</v>
      </c>
      <c r="AD69" s="119">
        <f t="shared" si="72"/>
        <v>-462.21203034351322</v>
      </c>
      <c r="AE69" s="120">
        <f t="shared" si="73"/>
        <v>4137.6740334720016</v>
      </c>
      <c r="AF69" s="48">
        <f t="shared" si="74"/>
        <v>-170.21000330888626</v>
      </c>
      <c r="AG69" s="28">
        <f t="shared" si="75"/>
        <v>3406.0400100072193</v>
      </c>
      <c r="AH69" s="28">
        <f t="shared" si="76"/>
        <v>3410.2903094892654</v>
      </c>
      <c r="AI69" s="28">
        <f>ASIN(AG69/AH69)</f>
        <v>1.5208648737675132</v>
      </c>
      <c r="AJ69" s="28">
        <f>DEGREES(AI69)</f>
        <v>87.139138476575212</v>
      </c>
      <c r="AK69" s="28">
        <f t="shared" si="77"/>
        <v>85.139138476575212</v>
      </c>
      <c r="AL69" s="28">
        <f>RADIANS(AK69)</f>
        <v>1.4859582887276266</v>
      </c>
      <c r="AM69" s="28">
        <f t="shared" si="78"/>
        <v>-288.97539807162366</v>
      </c>
      <c r="AN69" s="28">
        <f>AH69*SIN(AL69)</f>
        <v>3398.0248990120331</v>
      </c>
      <c r="AO69" s="19">
        <f t="shared" si="80"/>
        <v>-589.70229928187632</v>
      </c>
      <c r="AP69" s="19">
        <f t="shared" si="81"/>
        <v>4129.658922476815</v>
      </c>
      <c r="AQ69" s="236">
        <f t="shared" si="82"/>
        <v>-580.97742510625062</v>
      </c>
      <c r="AR69" s="237">
        <f t="shared" si="83"/>
        <v>4129.658922476815</v>
      </c>
      <c r="AS69" s="313">
        <f t="shared" si="87"/>
        <v>-8.1428830107601463E-2</v>
      </c>
      <c r="AT69" s="314">
        <f t="shared" si="88"/>
        <v>-4.665528295853373</v>
      </c>
      <c r="AU69" s="65">
        <f t="shared" si="89"/>
        <v>-4.0669436099351008</v>
      </c>
      <c r="AV69" s="65">
        <f t="shared" si="90"/>
        <v>49.834325215393541</v>
      </c>
      <c r="AW69" s="315">
        <f t="shared" si="91"/>
        <v>-593.76924289181147</v>
      </c>
      <c r="AX69" s="316">
        <f t="shared" si="92"/>
        <v>4179.4932476922086</v>
      </c>
      <c r="CM69" s="13"/>
      <c r="CN69" s="13"/>
    </row>
    <row r="70" spans="1:92" x14ac:dyDescent="0.25">
      <c r="A70" t="b">
        <v>1</v>
      </c>
      <c r="B70" s="445"/>
      <c r="C70" s="123">
        <v>12</v>
      </c>
      <c r="D70" s="12">
        <f>VLOOKUP(INPUT!$C$4,'Vehicle &amp; Track Data'!$A$4:$AD$20,C70+1,FALSE)</f>
        <v>-760</v>
      </c>
      <c r="E70" s="166">
        <f>VLOOKUP(INPUT!$C$4,'Vehicle &amp; Track Data'!$A$23:$AD$39,C70+1,FALSE)</f>
        <v>4190</v>
      </c>
      <c r="F70" s="62">
        <f t="shared" si="93"/>
        <v>-787.83959337161627</v>
      </c>
      <c r="G70" s="18">
        <f t="shared" si="94"/>
        <v>4189.625113492174</v>
      </c>
      <c r="H70" s="18">
        <f t="shared" si="95"/>
        <v>-732.15853024869261</v>
      </c>
      <c r="I70" s="18">
        <f t="shared" si="96"/>
        <v>4190.1898975453305</v>
      </c>
      <c r="J70" s="18">
        <f t="shared" si="97"/>
        <v>-732.12685254449434</v>
      </c>
      <c r="K70" s="18">
        <f t="shared" si="98"/>
        <v>4199.7247812662608</v>
      </c>
      <c r="L70" s="18">
        <f t="shared" si="99"/>
        <v>-787.807915667418</v>
      </c>
      <c r="M70" s="24">
        <f t="shared" si="100"/>
        <v>4180.0902297712437</v>
      </c>
      <c r="N70" s="225">
        <f t="shared" si="102"/>
        <v>-787.83959337161627</v>
      </c>
      <c r="O70" s="280">
        <f t="shared" si="101"/>
        <v>4189.625113492174</v>
      </c>
      <c r="U70" s="261"/>
      <c r="V70" s="125">
        <v>14</v>
      </c>
      <c r="W70" s="327">
        <f t="shared" si="66"/>
        <v>4141.4826063747087</v>
      </c>
      <c r="X70" s="221">
        <f t="shared" si="67"/>
        <v>-3.3233110736595871E-2</v>
      </c>
      <c r="Y70" s="66">
        <f t="shared" si="68"/>
        <v>-1.9041169852978459</v>
      </c>
      <c r="Z70" s="49">
        <f>V37+($J$4+$G$8)*COS(X70)</f>
        <v>-42.316857233246182</v>
      </c>
      <c r="AA70" s="304">
        <f t="shared" ref="AA70:AA84" si="103">W70-($J$4+$G$8)*SIN(X70)</f>
        <v>4143.9746309057236</v>
      </c>
      <c r="AB70" s="308">
        <f t="shared" si="70"/>
        <v>163.11501562500001</v>
      </c>
      <c r="AC70" s="53">
        <f t="shared" si="71"/>
        <v>161.1183770593189</v>
      </c>
      <c r="AD70" s="53">
        <f>Z70+IF($D$13="Right",AB70,AC70)*COS(X70)</f>
        <v>118.71255525260308</v>
      </c>
      <c r="AE70" s="121">
        <f>AA70-IF($D$13="Right",AB70,AC70)*SIN(X70)</f>
        <v>4149.3281102127794</v>
      </c>
      <c r="AF70" s="46">
        <f t="shared" ref="AF70:AF83" si="104">AD70-$AD$51</f>
        <v>-121.61079711354587</v>
      </c>
      <c r="AG70" s="22">
        <f t="shared" ref="AG70:AG83" si="105">AE70-$AE$51</f>
        <v>3407.9790614525673</v>
      </c>
      <c r="AH70" s="22">
        <f t="shared" si="76"/>
        <v>3410.1481594314514</v>
      </c>
      <c r="AI70" s="22">
        <f>ASIN(AG70/AH70)</f>
        <v>1.535127322876199</v>
      </c>
      <c r="AJ70" s="22">
        <f>DEGREES(AI70)</f>
        <v>87.956316616023031</v>
      </c>
      <c r="AK70" s="22">
        <f t="shared" si="77"/>
        <v>85.956316616023031</v>
      </c>
      <c r="AL70" s="22">
        <f>RADIANS(AK70)</f>
        <v>1.5002207378363124</v>
      </c>
      <c r="AM70" s="22">
        <f t="shared" si="78"/>
        <v>-240.47346911912044</v>
      </c>
      <c r="AN70" s="22">
        <f>AH70*SIN(AL70)</f>
        <v>3401.65885707599</v>
      </c>
      <c r="AO70" s="19">
        <f t="shared" ref="AO70:AO83" si="106">$AD$84+(AD70-$AD$84)*COS(-$J$9)-(AE70-$AE$84)*SIN(-$J$9)</f>
        <v>246.44826545737234</v>
      </c>
      <c r="AP70" s="19">
        <f t="shared" ref="AP70:AP83" si="107">$AE$51+((AD70-$AD$51)*SIN(-$J$9))+((AE70-$AE$51)*COS(-$J$9))</f>
        <v>4151.4962170619074</v>
      </c>
      <c r="AQ70" s="232">
        <f t="shared" ref="AQ70:AQ83" si="108">AM70+$AD$51</f>
        <v>-0.15011675297148486</v>
      </c>
      <c r="AR70" s="233">
        <f t="shared" ref="AR70:AR83" si="109">AN70+$AE$51</f>
        <v>4143.0079058362016</v>
      </c>
      <c r="AS70" s="317">
        <f>RADIANS(AT70)</f>
        <v>1.5691228524916059</v>
      </c>
      <c r="AT70" s="318">
        <f>90-Y70-$J$8</f>
        <v>89.904116985297847</v>
      </c>
      <c r="AU70" s="318">
        <f>$J$12*COS(AS70)</f>
        <v>8.367367610960938E-2</v>
      </c>
      <c r="AV70" s="318">
        <f>$J$12*SIN(AS70)</f>
        <v>49.999929987110249</v>
      </c>
      <c r="AW70" s="21">
        <f t="shared" si="91"/>
        <v>246.53193913348196</v>
      </c>
      <c r="AX70" s="23">
        <f t="shared" si="92"/>
        <v>4201.496147049018</v>
      </c>
    </row>
    <row r="71" spans="1:92" x14ac:dyDescent="0.25">
      <c r="A71" t="b">
        <v>1</v>
      </c>
      <c r="B71" s="445"/>
      <c r="C71" s="123">
        <v>13</v>
      </c>
      <c r="D71" s="12">
        <f>VLOOKUP(INPUT!$C$4,'Vehicle &amp; Track Data'!$A$4:$AD$20,C71+1,FALSE)</f>
        <v>-455</v>
      </c>
      <c r="E71" s="166">
        <f>VLOOKUP(INPUT!$C$4,'Vehicle &amp; Track Data'!$A$23:$AD$39,C71+1,FALSE)</f>
        <v>4270</v>
      </c>
      <c r="F71" s="62">
        <f t="shared" si="93"/>
        <v>-483.37788772524328</v>
      </c>
      <c r="G71" s="18">
        <f t="shared" si="94"/>
        <v>4271.6499255608487</v>
      </c>
      <c r="H71" s="18">
        <f t="shared" si="95"/>
        <v>-426.63370167873171</v>
      </c>
      <c r="I71" s="18">
        <f t="shared" si="96"/>
        <v>4268.1615534678258</v>
      </c>
      <c r="J71" s="18">
        <f t="shared" si="97"/>
        <v>-426.60202397453344</v>
      </c>
      <c r="K71" s="18">
        <f t="shared" si="98"/>
        <v>4277.6964371887561</v>
      </c>
      <c r="L71" s="18">
        <f t="shared" si="99"/>
        <v>-483.34621002104501</v>
      </c>
      <c r="M71" s="24">
        <f t="shared" si="100"/>
        <v>4262.1150418399184</v>
      </c>
      <c r="N71" s="225">
        <f t="shared" si="102"/>
        <v>-483.37788772524328</v>
      </c>
      <c r="O71" s="280">
        <f t="shared" si="101"/>
        <v>4271.6499255608487</v>
      </c>
      <c r="U71" s="261"/>
      <c r="V71" s="123">
        <v>15</v>
      </c>
      <c r="W71" s="327">
        <f t="shared" si="66"/>
        <v>4141.4826063747087</v>
      </c>
      <c r="X71" s="221">
        <f t="shared" si="67"/>
        <v>-3.3233110736595871E-2</v>
      </c>
      <c r="Y71" s="66">
        <f t="shared" si="68"/>
        <v>-1.9041169852978459</v>
      </c>
      <c r="Z71" s="49">
        <f t="shared" ref="Z71:Z84" si="110">V38+($J$4+$G$8)*COS(X71)</f>
        <v>-42.316857233246182</v>
      </c>
      <c r="AA71" s="305">
        <f t="shared" si="103"/>
        <v>4143.9746309057236</v>
      </c>
      <c r="AB71" s="309">
        <f t="shared" si="70"/>
        <v>163.11501562500001</v>
      </c>
      <c r="AC71" s="45">
        <f t="shared" si="71"/>
        <v>161.1183770593189</v>
      </c>
      <c r="AD71" s="45">
        <f t="shared" ref="AD71:AD84" si="111">Z71+IF($D$13="Right",AB71,AC71)*COS(X71)</f>
        <v>118.71255525260308</v>
      </c>
      <c r="AE71" s="36">
        <f t="shared" ref="AE71:AE84" si="112">AA71-IF($D$13="Right",AB71,AC71)*SIN(X71)</f>
        <v>4149.3281102127794</v>
      </c>
      <c r="AF71" s="47">
        <f t="shared" si="104"/>
        <v>-121.61079711354587</v>
      </c>
      <c r="AG71" s="19">
        <f t="shared" si="105"/>
        <v>3407.9790614525673</v>
      </c>
      <c r="AH71" s="19">
        <f t="shared" si="76"/>
        <v>3410.1481594314514</v>
      </c>
      <c r="AI71" s="19">
        <f t="shared" ref="AI71:AI83" si="113">ASIN(AG71/AH71)</f>
        <v>1.535127322876199</v>
      </c>
      <c r="AJ71" s="19">
        <f t="shared" ref="AJ71:AJ83" si="114">DEGREES(AI71)</f>
        <v>87.956316616023031</v>
      </c>
      <c r="AK71" s="19">
        <f t="shared" si="77"/>
        <v>85.956316616023031</v>
      </c>
      <c r="AL71" s="19">
        <f t="shared" ref="AL71:AL83" si="115">RADIANS(AK71)</f>
        <v>1.5002207378363124</v>
      </c>
      <c r="AM71" s="19">
        <f t="shared" si="78"/>
        <v>-240.47346911912044</v>
      </c>
      <c r="AN71" s="19">
        <f t="shared" ref="AN71:AN83" si="116">AH71*SIN(AL71)</f>
        <v>3401.65885707599</v>
      </c>
      <c r="AO71" s="19">
        <f t="shared" si="106"/>
        <v>246.44826545737234</v>
      </c>
      <c r="AP71" s="19">
        <f t="shared" si="107"/>
        <v>4151.4962170619074</v>
      </c>
      <c r="AQ71" s="234">
        <f t="shared" si="108"/>
        <v>-0.15011675297148486</v>
      </c>
      <c r="AR71" s="235">
        <f t="shared" si="109"/>
        <v>4143.0079058362016</v>
      </c>
      <c r="AS71" s="319">
        <f t="shared" ref="AS71:AS83" si="117">RADIANS(AT71)</f>
        <v>1.5691228524916059</v>
      </c>
      <c r="AT71" s="65">
        <f>90-Y71-$J$8</f>
        <v>89.904116985297847</v>
      </c>
      <c r="AU71" s="65">
        <f>$J$12*COS(AS71)</f>
        <v>8.367367610960938E-2</v>
      </c>
      <c r="AV71" s="65">
        <f>$J$12*SIN(AS71)</f>
        <v>49.999929987110249</v>
      </c>
      <c r="AW71" s="18">
        <f t="shared" si="91"/>
        <v>246.53193913348196</v>
      </c>
      <c r="AX71" s="24">
        <f t="shared" si="92"/>
        <v>4201.496147049018</v>
      </c>
    </row>
    <row r="72" spans="1:92" ht="12" thickBot="1" x14ac:dyDescent="0.3">
      <c r="A72" t="b">
        <v>1</v>
      </c>
      <c r="B72" s="446"/>
      <c r="C72" s="124">
        <v>14</v>
      </c>
      <c r="D72" s="25">
        <f>VLOOKUP(INPUT!$C$4,'Vehicle &amp; Track Data'!$A$4:$AD$20,C72+1,FALSE)</f>
        <v>0</v>
      </c>
      <c r="E72" s="167">
        <f>VLOOKUP(INPUT!$C$4,'Vehicle &amp; Track Data'!$A$23:$AD$39,C72+1,FALSE)</f>
        <v>4270</v>
      </c>
      <c r="F72" s="224">
        <f t="shared" si="93"/>
        <v>-28.387931875354948</v>
      </c>
      <c r="G72" s="27">
        <f t="shared" si="94"/>
        <v>4274.673181374802</v>
      </c>
      <c r="H72" s="27">
        <f t="shared" si="95"/>
        <v>28.356254171156674</v>
      </c>
      <c r="I72" s="27">
        <f t="shared" si="96"/>
        <v>4265.1382976538725</v>
      </c>
      <c r="J72" s="27">
        <f t="shared" si="97"/>
        <v>28.387931875354948</v>
      </c>
      <c r="K72" s="27">
        <f t="shared" si="98"/>
        <v>4274.673181374802</v>
      </c>
      <c r="L72" s="27">
        <f t="shared" si="99"/>
        <v>-28.356254171156674</v>
      </c>
      <c r="M72" s="29">
        <f t="shared" si="100"/>
        <v>4265.1382976538725</v>
      </c>
      <c r="N72" s="226">
        <f t="shared" si="102"/>
        <v>-28.387931875354948</v>
      </c>
      <c r="O72" s="227">
        <f t="shared" si="101"/>
        <v>4274.673181374802</v>
      </c>
      <c r="U72" s="261"/>
      <c r="V72" s="123">
        <v>16</v>
      </c>
      <c r="W72" s="327">
        <f t="shared" si="66"/>
        <v>4156.600888529535</v>
      </c>
      <c r="X72" s="221">
        <f t="shared" si="67"/>
        <v>-3.3233110736595871E-2</v>
      </c>
      <c r="Y72" s="66">
        <f t="shared" si="68"/>
        <v>-1.9041169852978459</v>
      </c>
      <c r="Z72" s="49">
        <f t="shared" si="110"/>
        <v>412.43190587082989</v>
      </c>
      <c r="AA72" s="305">
        <f t="shared" si="103"/>
        <v>4159.09291306055</v>
      </c>
      <c r="AB72" s="309">
        <f t="shared" si="70"/>
        <v>163.11501562500001</v>
      </c>
      <c r="AC72" s="45">
        <f t="shared" si="71"/>
        <v>161.1183770593189</v>
      </c>
      <c r="AD72" s="45">
        <f t="shared" si="111"/>
        <v>573.46131835667916</v>
      </c>
      <c r="AE72" s="36">
        <f t="shared" si="112"/>
        <v>4164.4463923676058</v>
      </c>
      <c r="AF72" s="47">
        <f t="shared" si="104"/>
        <v>333.13796599053023</v>
      </c>
      <c r="AG72" s="19">
        <f t="shared" si="105"/>
        <v>3423.0973436073937</v>
      </c>
      <c r="AH72" s="19">
        <f t="shared" si="76"/>
        <v>3439.2697376327292</v>
      </c>
      <c r="AI72" s="19">
        <f t="shared" si="113"/>
        <v>1.4737812205605529</v>
      </c>
      <c r="AJ72" s="19">
        <f t="shared" si="114"/>
        <v>84.441443863758792</v>
      </c>
      <c r="AK72" s="19">
        <f t="shared" si="77"/>
        <v>82.441443863758792</v>
      </c>
      <c r="AL72" s="19">
        <f t="shared" si="115"/>
        <v>1.4388746355206665</v>
      </c>
      <c r="AM72" s="19">
        <f t="shared" si="78"/>
        <v>452.3994017982987</v>
      </c>
      <c r="AN72" s="19">
        <f t="shared" si="116"/>
        <v>3409.3857378490984</v>
      </c>
      <c r="AO72" s="19">
        <f t="shared" si="106"/>
        <v>701.44762834007565</v>
      </c>
      <c r="AP72" s="19">
        <f t="shared" si="107"/>
        <v>4150.7347866093105</v>
      </c>
      <c r="AQ72" s="234">
        <f t="shared" si="108"/>
        <v>692.72275416444768</v>
      </c>
      <c r="AR72" s="235">
        <f t="shared" si="109"/>
        <v>4150.7347866093105</v>
      </c>
      <c r="AS72" s="319">
        <f t="shared" si="117"/>
        <v>1.5691228524916059</v>
      </c>
      <c r="AT72" s="65">
        <f t="shared" ref="AT72:AT83" si="118">90-Y72-$J$8</f>
        <v>89.904116985297847</v>
      </c>
      <c r="AU72" s="65">
        <f t="shared" ref="AU72:AU83" si="119">$J$12*COS(AS72)</f>
        <v>8.367367610960938E-2</v>
      </c>
      <c r="AV72" s="65">
        <f t="shared" ref="AV72:AV83" si="120">$J$12*SIN(AS72)</f>
        <v>49.999929987110249</v>
      </c>
      <c r="AW72" s="18">
        <f t="shared" si="91"/>
        <v>701.53130201618524</v>
      </c>
      <c r="AX72" s="24">
        <f t="shared" si="92"/>
        <v>4200.7347165964211</v>
      </c>
    </row>
    <row r="73" spans="1:92" ht="12" customHeight="1" x14ac:dyDescent="0.25">
      <c r="A73" t="b">
        <v>0</v>
      </c>
      <c r="B73" s="444" t="s">
        <v>134</v>
      </c>
      <c r="C73" s="125">
        <v>14</v>
      </c>
      <c r="D73" s="20">
        <f>VLOOKUP(INPUT!$C$4,'Vehicle &amp; Track Data'!$A$4:$AD$20,C73+1,FALSE)</f>
        <v>0</v>
      </c>
      <c r="E73" s="165">
        <f>VLOOKUP(INPUT!$C$4,'Vehicle &amp; Track Data'!$A$23:$AD$39,C73+1,FALSE)</f>
        <v>4270</v>
      </c>
      <c r="F73" s="223">
        <f t="shared" si="93"/>
        <v>-28.387931875354948</v>
      </c>
      <c r="G73" s="202">
        <f t="shared" si="94"/>
        <v>4274.673181374802</v>
      </c>
      <c r="H73" s="202">
        <f t="shared" si="95"/>
        <v>28.356254171156674</v>
      </c>
      <c r="I73" s="202">
        <f t="shared" si="96"/>
        <v>4265.1382976538725</v>
      </c>
      <c r="J73" s="202">
        <f t="shared" si="97"/>
        <v>28.387931875354948</v>
      </c>
      <c r="K73" s="202">
        <f t="shared" si="98"/>
        <v>4274.673181374802</v>
      </c>
      <c r="L73" s="202">
        <f t="shared" si="99"/>
        <v>-28.356254171156674</v>
      </c>
      <c r="M73" s="222">
        <f t="shared" si="100"/>
        <v>4265.1382976538725</v>
      </c>
      <c r="N73" s="228">
        <f t="shared" si="102"/>
        <v>28.387931875354948</v>
      </c>
      <c r="O73" s="280">
        <f t="shared" si="101"/>
        <v>4274.673181374802</v>
      </c>
      <c r="U73" s="261"/>
      <c r="V73" s="123">
        <v>17</v>
      </c>
      <c r="W73" s="327">
        <f t="shared" si="66"/>
        <v>4086.7792951424926</v>
      </c>
      <c r="X73" s="221">
        <f t="shared" si="67"/>
        <v>-3.3233110736595871E-2</v>
      </c>
      <c r="Y73" s="66">
        <f t="shared" si="68"/>
        <v>-1.9041169852978459</v>
      </c>
      <c r="Z73" s="49">
        <f t="shared" si="110"/>
        <v>719.92165382496012</v>
      </c>
      <c r="AA73" s="305">
        <f t="shared" si="103"/>
        <v>4089.2713196735081</v>
      </c>
      <c r="AB73" s="309">
        <f t="shared" si="70"/>
        <v>163.11501562500001</v>
      </c>
      <c r="AC73" s="45">
        <f t="shared" si="71"/>
        <v>161.1183770593189</v>
      </c>
      <c r="AD73" s="45">
        <f t="shared" si="111"/>
        <v>880.95106631080944</v>
      </c>
      <c r="AE73" s="36">
        <f t="shared" si="112"/>
        <v>4094.6247989805638</v>
      </c>
      <c r="AF73" s="47">
        <f t="shared" si="104"/>
        <v>640.62771394466051</v>
      </c>
      <c r="AG73" s="19">
        <f t="shared" si="105"/>
        <v>3353.2757502203517</v>
      </c>
      <c r="AH73" s="19">
        <f t="shared" si="76"/>
        <v>3413.921810014082</v>
      </c>
      <c r="AI73" s="19">
        <f t="shared" si="113"/>
        <v>1.3820256535931028</v>
      </c>
      <c r="AJ73" s="19">
        <f t="shared" si="114"/>
        <v>79.184237129693912</v>
      </c>
      <c r="AK73" s="19">
        <f t="shared" si="77"/>
        <v>77.184237129693912</v>
      </c>
      <c r="AL73" s="19">
        <f t="shared" si="115"/>
        <v>1.3471190685532164</v>
      </c>
      <c r="AM73" s="19">
        <f t="shared" si="78"/>
        <v>757.26509683789834</v>
      </c>
      <c r="AN73" s="19">
        <f t="shared" si="116"/>
        <v>3328.8754404454535</v>
      </c>
      <c r="AO73" s="19">
        <f t="shared" si="106"/>
        <v>1006.3133233796727</v>
      </c>
      <c r="AP73" s="19">
        <f t="shared" si="107"/>
        <v>4070.2244892056656</v>
      </c>
      <c r="AQ73" s="234">
        <f t="shared" si="108"/>
        <v>997.58844920404727</v>
      </c>
      <c r="AR73" s="235">
        <f t="shared" si="109"/>
        <v>4070.2244892056656</v>
      </c>
      <c r="AS73" s="319">
        <f t="shared" si="117"/>
        <v>1.5691228524916059</v>
      </c>
      <c r="AT73" s="65">
        <f t="shared" si="118"/>
        <v>89.904116985297847</v>
      </c>
      <c r="AU73" s="65">
        <f t="shared" si="119"/>
        <v>8.367367610960938E-2</v>
      </c>
      <c r="AV73" s="65">
        <f t="shared" si="120"/>
        <v>49.999929987110249</v>
      </c>
      <c r="AW73" s="18">
        <f t="shared" si="91"/>
        <v>1006.3969970557823</v>
      </c>
      <c r="AX73" s="24">
        <f t="shared" si="92"/>
        <v>4120.2244191927757</v>
      </c>
    </row>
    <row r="74" spans="1:92" x14ac:dyDescent="0.25">
      <c r="A74" t="b">
        <v>0</v>
      </c>
      <c r="B74" s="445"/>
      <c r="C74" s="123">
        <v>15</v>
      </c>
      <c r="D74" s="12">
        <f>VLOOKUP(INPUT!$C$4,'Vehicle &amp; Track Data'!$A$4:$AD$20,C74+1,FALSE)</f>
        <v>0</v>
      </c>
      <c r="E74" s="166">
        <f>VLOOKUP(INPUT!$C$4,'Vehicle &amp; Track Data'!$A$23:$AD$39,C74+1,FALSE)</f>
        <v>4270</v>
      </c>
      <c r="F74" s="62">
        <f t="shared" si="93"/>
        <v>-28.387931875354948</v>
      </c>
      <c r="G74" s="18">
        <f t="shared" si="94"/>
        <v>4274.673181374802</v>
      </c>
      <c r="H74" s="18">
        <f t="shared" si="95"/>
        <v>28.356254171156674</v>
      </c>
      <c r="I74" s="18">
        <f t="shared" si="96"/>
        <v>4265.1382976538725</v>
      </c>
      <c r="J74" s="18">
        <f t="shared" si="97"/>
        <v>28.387931875354948</v>
      </c>
      <c r="K74" s="18">
        <f t="shared" si="98"/>
        <v>4274.673181374802</v>
      </c>
      <c r="L74" s="18">
        <f t="shared" si="99"/>
        <v>-28.356254171156674</v>
      </c>
      <c r="M74" s="24">
        <f t="shared" si="100"/>
        <v>4265.1382976538725</v>
      </c>
      <c r="N74" s="225">
        <f t="shared" si="102"/>
        <v>28.387931875354948</v>
      </c>
      <c r="O74" s="280">
        <f t="shared" si="101"/>
        <v>4274.673181374802</v>
      </c>
      <c r="U74" s="261"/>
      <c r="V74" s="123">
        <v>18</v>
      </c>
      <c r="W74" s="327">
        <f t="shared" si="66"/>
        <v>3946.9963535855923</v>
      </c>
      <c r="X74" s="221">
        <f t="shared" si="67"/>
        <v>-3.3233110736595871E-2</v>
      </c>
      <c r="Y74" s="66">
        <f t="shared" si="68"/>
        <v>-1.9041169852978459</v>
      </c>
      <c r="Z74" s="49">
        <f t="shared" si="110"/>
        <v>1029.7372913413712</v>
      </c>
      <c r="AA74" s="305">
        <f t="shared" si="103"/>
        <v>3949.4883781166077</v>
      </c>
      <c r="AB74" s="309">
        <f t="shared" si="70"/>
        <v>163.11501562500001</v>
      </c>
      <c r="AC74" s="45">
        <f t="shared" si="71"/>
        <v>161.1183770593189</v>
      </c>
      <c r="AD74" s="45">
        <f t="shared" si="111"/>
        <v>1190.7667038272205</v>
      </c>
      <c r="AE74" s="36">
        <f t="shared" si="112"/>
        <v>3954.8418574236634</v>
      </c>
      <c r="AF74" s="47">
        <f t="shared" si="104"/>
        <v>950.44335146107153</v>
      </c>
      <c r="AG74" s="19">
        <f t="shared" si="105"/>
        <v>3213.4928086634513</v>
      </c>
      <c r="AH74" s="19">
        <f t="shared" si="76"/>
        <v>3351.1011019765238</v>
      </c>
      <c r="AI74" s="19">
        <f t="shared" si="113"/>
        <v>1.2832280369162643</v>
      </c>
      <c r="AJ74" s="19">
        <f t="shared" si="114"/>
        <v>73.523550668159743</v>
      </c>
      <c r="AK74" s="19">
        <f t="shared" si="77"/>
        <v>71.523550668159743</v>
      </c>
      <c r="AL74" s="19">
        <f t="shared" si="115"/>
        <v>1.2483214518763777</v>
      </c>
      <c r="AM74" s="19">
        <f t="shared" si="78"/>
        <v>1062.013648730943</v>
      </c>
      <c r="AN74" s="19">
        <f t="shared" si="116"/>
        <v>3178.3652410598538</v>
      </c>
      <c r="AO74" s="19">
        <f t="shared" si="106"/>
        <v>1311.0618752727164</v>
      </c>
      <c r="AP74" s="19">
        <f t="shared" si="107"/>
        <v>3919.7142898200659</v>
      </c>
      <c r="AQ74" s="234">
        <f t="shared" si="108"/>
        <v>1302.3370010970921</v>
      </c>
      <c r="AR74" s="235">
        <f t="shared" si="109"/>
        <v>3919.7142898200659</v>
      </c>
      <c r="AS74" s="319">
        <f t="shared" si="117"/>
        <v>1.5691228524916059</v>
      </c>
      <c r="AT74" s="65">
        <f t="shared" si="118"/>
        <v>89.904116985297847</v>
      </c>
      <c r="AU74" s="65">
        <f t="shared" si="119"/>
        <v>8.367367610960938E-2</v>
      </c>
      <c r="AV74" s="65">
        <f t="shared" si="120"/>
        <v>49.999929987110249</v>
      </c>
      <c r="AW74" s="18">
        <f t="shared" si="91"/>
        <v>1311.145548948826</v>
      </c>
      <c r="AX74" s="24">
        <f t="shared" si="92"/>
        <v>3969.7142198071761</v>
      </c>
    </row>
    <row r="75" spans="1:92" x14ac:dyDescent="0.25">
      <c r="A75" t="b">
        <v>0</v>
      </c>
      <c r="B75" s="445"/>
      <c r="C75" s="123">
        <v>16</v>
      </c>
      <c r="D75" s="12">
        <f>VLOOKUP(INPUT!$C$4,'Vehicle &amp; Track Data'!$A$4:$AD$20,C75+1,FALSE)</f>
        <v>455</v>
      </c>
      <c r="E75" s="166">
        <f>VLOOKUP(INPUT!$C$4,'Vehicle &amp; Track Data'!$A$23:$AD$39,C75+1,FALSE)</f>
        <v>4270</v>
      </c>
      <c r="F75" s="62">
        <f t="shared" si="93"/>
        <v>426.60202397453344</v>
      </c>
      <c r="G75" s="18">
        <f t="shared" si="94"/>
        <v>4277.6964371887561</v>
      </c>
      <c r="H75" s="18">
        <f t="shared" si="95"/>
        <v>483.34621002104501</v>
      </c>
      <c r="I75" s="18">
        <f t="shared" si="96"/>
        <v>4262.1150418399184</v>
      </c>
      <c r="J75" s="18">
        <f t="shared" si="97"/>
        <v>483.37788772524328</v>
      </c>
      <c r="K75" s="18">
        <f t="shared" si="98"/>
        <v>4271.6499255608487</v>
      </c>
      <c r="L75" s="18">
        <f t="shared" si="99"/>
        <v>426.63370167873171</v>
      </c>
      <c r="M75" s="24">
        <f t="shared" si="100"/>
        <v>4268.1615534678258</v>
      </c>
      <c r="N75" s="225">
        <f t="shared" si="102"/>
        <v>483.37788772524328</v>
      </c>
      <c r="O75" s="280">
        <f t="shared" si="101"/>
        <v>4271.6499255608487</v>
      </c>
      <c r="U75" s="261"/>
      <c r="V75" s="123">
        <v>19</v>
      </c>
      <c r="W75" s="327">
        <f t="shared" si="66"/>
        <v>3829.2118163850155</v>
      </c>
      <c r="X75" s="221">
        <f t="shared" si="67"/>
        <v>-3.3233110736595871E-2</v>
      </c>
      <c r="Y75" s="66">
        <f t="shared" si="68"/>
        <v>-1.9041169852978459</v>
      </c>
      <c r="Z75" s="49">
        <f t="shared" si="110"/>
        <v>1218.7552873006077</v>
      </c>
      <c r="AA75" s="305">
        <f t="shared" si="103"/>
        <v>3831.7038409160309</v>
      </c>
      <c r="AB75" s="309">
        <f t="shared" si="70"/>
        <v>163.11501562500001</v>
      </c>
      <c r="AC75" s="45">
        <f t="shared" si="71"/>
        <v>161.1183770593189</v>
      </c>
      <c r="AD75" s="45">
        <f t="shared" si="111"/>
        <v>1379.7846997864569</v>
      </c>
      <c r="AE75" s="36">
        <f t="shared" si="112"/>
        <v>3837.0573202230867</v>
      </c>
      <c r="AF75" s="47">
        <f t="shared" si="104"/>
        <v>1139.4613474203079</v>
      </c>
      <c r="AG75" s="19">
        <f t="shared" si="105"/>
        <v>3095.7082714628746</v>
      </c>
      <c r="AH75" s="19">
        <f t="shared" si="76"/>
        <v>3298.7545929135986</v>
      </c>
      <c r="AI75" s="19">
        <f t="shared" si="113"/>
        <v>1.2181082429336172</v>
      </c>
      <c r="AJ75" s="19">
        <f t="shared" si="114"/>
        <v>69.79246131019265</v>
      </c>
      <c r="AK75" s="19">
        <f t="shared" si="77"/>
        <v>67.79246131019265</v>
      </c>
      <c r="AL75" s="19">
        <f t="shared" si="115"/>
        <v>1.1832016578937306</v>
      </c>
      <c r="AM75" s="19">
        <f t="shared" si="78"/>
        <v>1246.8058789664985</v>
      </c>
      <c r="AN75" s="19">
        <f t="shared" si="116"/>
        <v>3054.0558220902149</v>
      </c>
      <c r="AO75" s="19">
        <f t="shared" si="106"/>
        <v>1495.8541055082726</v>
      </c>
      <c r="AP75" s="19">
        <f t="shared" si="107"/>
        <v>3795.4048708504274</v>
      </c>
      <c r="AQ75" s="234">
        <f t="shared" si="108"/>
        <v>1487.1292313326476</v>
      </c>
      <c r="AR75" s="235">
        <f t="shared" si="109"/>
        <v>3795.404870850427</v>
      </c>
      <c r="AS75" s="319">
        <f t="shared" si="117"/>
        <v>1.5691228524916059</v>
      </c>
      <c r="AT75" s="65">
        <f t="shared" si="118"/>
        <v>89.904116985297847</v>
      </c>
      <c r="AU75" s="65">
        <f t="shared" si="119"/>
        <v>8.367367610960938E-2</v>
      </c>
      <c r="AV75" s="65">
        <f t="shared" si="120"/>
        <v>49.999929987110249</v>
      </c>
      <c r="AW75" s="18">
        <f t="shared" si="91"/>
        <v>1495.9377791843822</v>
      </c>
      <c r="AX75" s="24">
        <f t="shared" si="92"/>
        <v>3845.4048008375376</v>
      </c>
    </row>
    <row r="76" spans="1:92" x14ac:dyDescent="0.25">
      <c r="A76" t="b">
        <v>0</v>
      </c>
      <c r="B76" s="445"/>
      <c r="C76" s="123">
        <v>17</v>
      </c>
      <c r="D76" s="12">
        <f>VLOOKUP(INPUT!$C$4,'Vehicle &amp; Track Data'!$A$4:$AD$20,C76+1,FALSE)</f>
        <v>760</v>
      </c>
      <c r="E76" s="166">
        <f>VLOOKUP(INPUT!$C$4,'Vehicle &amp; Track Data'!$A$23:$AD$39,C76+1,FALSE)</f>
        <v>4190</v>
      </c>
      <c r="F76" s="62">
        <f t="shared" si="93"/>
        <v>732.12685254449434</v>
      </c>
      <c r="G76" s="18">
        <f t="shared" si="94"/>
        <v>4199.7247812662608</v>
      </c>
      <c r="H76" s="18">
        <f t="shared" si="95"/>
        <v>787.807915667418</v>
      </c>
      <c r="I76" s="18">
        <f t="shared" si="96"/>
        <v>4180.0902297712437</v>
      </c>
      <c r="J76" s="18">
        <f t="shared" si="97"/>
        <v>787.83959337161627</v>
      </c>
      <c r="K76" s="18">
        <f t="shared" si="98"/>
        <v>4189.625113492174</v>
      </c>
      <c r="L76" s="18">
        <f t="shared" si="99"/>
        <v>732.15853024869261</v>
      </c>
      <c r="M76" s="24">
        <f t="shared" si="100"/>
        <v>4190.1898975453305</v>
      </c>
      <c r="N76" s="225">
        <f t="shared" si="102"/>
        <v>787.83959337161627</v>
      </c>
      <c r="O76" s="280">
        <f t="shared" si="101"/>
        <v>4189.625113492174</v>
      </c>
      <c r="U76" s="261"/>
      <c r="V76" s="123">
        <v>20</v>
      </c>
      <c r="W76" s="327">
        <f t="shared" si="66"/>
        <v>3501.2056887002127</v>
      </c>
      <c r="X76" s="221">
        <f t="shared" si="67"/>
        <v>-3.3233110736595871E-2</v>
      </c>
      <c r="Y76" s="66">
        <f t="shared" si="68"/>
        <v>-1.9041169852978459</v>
      </c>
      <c r="Z76" s="49">
        <f t="shared" si="110"/>
        <v>1464.7897974840787</v>
      </c>
      <c r="AA76" s="305">
        <f t="shared" si="103"/>
        <v>3503.6977132312281</v>
      </c>
      <c r="AB76" s="309">
        <f t="shared" si="70"/>
        <v>163.11501562500001</v>
      </c>
      <c r="AC76" s="45">
        <f t="shared" si="71"/>
        <v>161.1183770593189</v>
      </c>
      <c r="AD76" s="45">
        <f t="shared" si="111"/>
        <v>1625.8192099699279</v>
      </c>
      <c r="AE76" s="36">
        <f t="shared" si="112"/>
        <v>3509.0511925382839</v>
      </c>
      <c r="AF76" s="47">
        <f t="shared" si="104"/>
        <v>1385.4958576037789</v>
      </c>
      <c r="AG76" s="19">
        <f t="shared" si="105"/>
        <v>2767.7021437780718</v>
      </c>
      <c r="AH76" s="19">
        <f t="shared" si="76"/>
        <v>3095.120987636988</v>
      </c>
      <c r="AI76" s="19">
        <f t="shared" si="113"/>
        <v>1.1066734080637426</v>
      </c>
      <c r="AJ76" s="19">
        <f t="shared" si="114"/>
        <v>63.40771558141158</v>
      </c>
      <c r="AK76" s="19">
        <f t="shared" si="77"/>
        <v>61.40771558141158</v>
      </c>
      <c r="AL76" s="19">
        <f t="shared" si="115"/>
        <v>1.0717668230238562</v>
      </c>
      <c r="AM76" s="19">
        <f t="shared" si="78"/>
        <v>1481.2432628024594</v>
      </c>
      <c r="AN76" s="19">
        <f t="shared" si="116"/>
        <v>2717.6630262991193</v>
      </c>
      <c r="AO76" s="19">
        <f t="shared" si="106"/>
        <v>1730.2914893442339</v>
      </c>
      <c r="AP76" s="19">
        <f t="shared" si="107"/>
        <v>3459.0120750593314</v>
      </c>
      <c r="AQ76" s="234">
        <f t="shared" si="108"/>
        <v>1721.5666151686085</v>
      </c>
      <c r="AR76" s="235">
        <f t="shared" si="109"/>
        <v>3459.0120750593314</v>
      </c>
      <c r="AS76" s="319">
        <f t="shared" si="117"/>
        <v>1.5691228524916059</v>
      </c>
      <c r="AT76" s="65">
        <f t="shared" si="118"/>
        <v>89.904116985297847</v>
      </c>
      <c r="AU76" s="65">
        <f t="shared" si="119"/>
        <v>8.367367610960938E-2</v>
      </c>
      <c r="AV76" s="65">
        <f t="shared" si="120"/>
        <v>49.999929987110249</v>
      </c>
      <c r="AW76" s="18">
        <f t="shared" si="91"/>
        <v>1730.3751630203435</v>
      </c>
      <c r="AX76" s="24">
        <f t="shared" si="92"/>
        <v>3509.0120050464416</v>
      </c>
    </row>
    <row r="77" spans="1:92" x14ac:dyDescent="0.25">
      <c r="A77" t="b">
        <v>0</v>
      </c>
      <c r="B77" s="445"/>
      <c r="C77" s="123">
        <v>18</v>
      </c>
      <c r="D77" s="12">
        <f>VLOOKUP(INPUT!$C$4,'Vehicle &amp; Track Data'!$A$4:$AD$20,C77+1,FALSE)</f>
        <v>1065</v>
      </c>
      <c r="E77" s="166">
        <f>VLOOKUP(INPUT!$C$4,'Vehicle &amp; Track Data'!$A$23:$AD$39,C77+1,FALSE)</f>
        <v>4040</v>
      </c>
      <c r="F77" s="62">
        <f t="shared" si="93"/>
        <v>1038.1167973935251</v>
      </c>
      <c r="G77" s="18">
        <f t="shared" si="94"/>
        <v>4051.7546705976288</v>
      </c>
      <c r="H77" s="18">
        <f t="shared" si="95"/>
        <v>1091.8045050347212</v>
      </c>
      <c r="I77" s="18">
        <f t="shared" si="96"/>
        <v>4028.0669629564331</v>
      </c>
      <c r="J77" s="18">
        <f t="shared" si="97"/>
        <v>1091.8361827389194</v>
      </c>
      <c r="K77" s="18">
        <f t="shared" si="98"/>
        <v>4037.601846677363</v>
      </c>
      <c r="L77" s="18">
        <f t="shared" si="99"/>
        <v>1038.1484750977233</v>
      </c>
      <c r="M77" s="24">
        <f t="shared" si="100"/>
        <v>4042.2197868766989</v>
      </c>
      <c r="N77" s="225">
        <f t="shared" si="102"/>
        <v>1091.8361827389194</v>
      </c>
      <c r="O77" s="280">
        <f t="shared" si="101"/>
        <v>4037.601846677363</v>
      </c>
      <c r="U77" s="261"/>
      <c r="V77" s="123">
        <v>21</v>
      </c>
      <c r="W77" s="327">
        <f t="shared" si="66"/>
        <v>1042.5640244452079</v>
      </c>
      <c r="X77" s="221">
        <f t="shared" si="67"/>
        <v>-3.3233110736595871E-2</v>
      </c>
      <c r="Y77" s="66">
        <f t="shared" si="68"/>
        <v>-1.9041169852978459</v>
      </c>
      <c r="Z77" s="49">
        <f t="shared" si="110"/>
        <v>1546.5282021013804</v>
      </c>
      <c r="AA77" s="305">
        <f t="shared" si="103"/>
        <v>1045.0560489762231</v>
      </c>
      <c r="AB77" s="309">
        <f t="shared" si="70"/>
        <v>163.11501562500001</v>
      </c>
      <c r="AC77" s="45">
        <f t="shared" si="71"/>
        <v>161.1183770593189</v>
      </c>
      <c r="AD77" s="45">
        <f t="shared" si="111"/>
        <v>1707.5576145872296</v>
      </c>
      <c r="AE77" s="36">
        <f t="shared" si="112"/>
        <v>1050.4095282832791</v>
      </c>
      <c r="AF77" s="47">
        <f t="shared" si="104"/>
        <v>1467.2342622210806</v>
      </c>
      <c r="AG77" s="19">
        <f t="shared" si="105"/>
        <v>309.0604795230671</v>
      </c>
      <c r="AH77" s="19">
        <f t="shared" si="76"/>
        <v>1499.4314790074493</v>
      </c>
      <c r="AI77" s="19">
        <f t="shared" si="113"/>
        <v>0.20760655465951691</v>
      </c>
      <c r="AJ77" s="19">
        <f t="shared" si="114"/>
        <v>11.894979381242354</v>
      </c>
      <c r="AK77" s="19">
        <f t="shared" si="77"/>
        <v>9.8949793812423543</v>
      </c>
      <c r="AL77" s="19">
        <f t="shared" si="115"/>
        <v>0.17269996961963033</v>
      </c>
      <c r="AM77" s="19">
        <f t="shared" si="78"/>
        <v>1477.1265179378672</v>
      </c>
      <c r="AN77" s="19">
        <f t="shared" si="116"/>
        <v>257.66647093329527</v>
      </c>
      <c r="AO77" s="19">
        <f t="shared" si="106"/>
        <v>1726.1747444796415</v>
      </c>
      <c r="AP77" s="19">
        <f t="shared" si="107"/>
        <v>999.01551969350726</v>
      </c>
      <c r="AQ77" s="234">
        <f t="shared" si="108"/>
        <v>1717.4498703040163</v>
      </c>
      <c r="AR77" s="235">
        <f t="shared" si="109"/>
        <v>999.01551969350726</v>
      </c>
      <c r="AS77" s="319">
        <f t="shared" si="117"/>
        <v>1.5691228524916059</v>
      </c>
      <c r="AT77" s="65">
        <f t="shared" si="118"/>
        <v>89.904116985297847</v>
      </c>
      <c r="AU77" s="65">
        <f t="shared" si="119"/>
        <v>8.367367610960938E-2</v>
      </c>
      <c r="AV77" s="65">
        <f t="shared" si="120"/>
        <v>49.999929987110249</v>
      </c>
      <c r="AW77" s="18">
        <f t="shared" si="91"/>
        <v>1726.2584181557511</v>
      </c>
      <c r="AX77" s="24">
        <f t="shared" si="92"/>
        <v>1049.0154496806176</v>
      </c>
    </row>
    <row r="78" spans="1:92" x14ac:dyDescent="0.25">
      <c r="A78" t="b">
        <v>0</v>
      </c>
      <c r="B78" s="445"/>
      <c r="C78" s="123">
        <v>19</v>
      </c>
      <c r="D78" s="12">
        <f>VLOOKUP(INPUT!$C$4,'Vehicle &amp; Track Data'!$A$4:$AD$20,C78+1,FALSE)</f>
        <v>1250</v>
      </c>
      <c r="E78" s="166">
        <f>VLOOKUP(INPUT!$C$4,'Vehicle &amp; Track Data'!$A$23:$AD$39,C78+1,FALSE)</f>
        <v>3916</v>
      </c>
      <c r="F78" s="62">
        <f t="shared" si="93"/>
        <v>1223.9366337740958</v>
      </c>
      <c r="G78" s="18">
        <f t="shared" si="94"/>
        <v>3928.9866437848714</v>
      </c>
      <c r="H78" s="18">
        <f t="shared" si="95"/>
        <v>1275.9765008837303</v>
      </c>
      <c r="I78" s="18">
        <f t="shared" si="96"/>
        <v>3902.8404643828781</v>
      </c>
      <c r="J78" s="18">
        <f t="shared" si="97"/>
        <v>1276.0081785879283</v>
      </c>
      <c r="K78" s="18">
        <f t="shared" si="98"/>
        <v>3912.3753481038084</v>
      </c>
      <c r="L78" s="18">
        <f t="shared" si="99"/>
        <v>1223.9683114782938</v>
      </c>
      <c r="M78" s="24">
        <f t="shared" si="100"/>
        <v>3919.451760063941</v>
      </c>
      <c r="N78" s="225">
        <f t="shared" si="102"/>
        <v>1276.0081785879283</v>
      </c>
      <c r="O78" s="280">
        <f t="shared" si="101"/>
        <v>3912.3753481038084</v>
      </c>
      <c r="U78" s="261"/>
      <c r="V78" s="123">
        <v>22</v>
      </c>
      <c r="W78" s="327">
        <f t="shared" si="66"/>
        <v>1041.4010796640673</v>
      </c>
      <c r="X78" s="221">
        <f t="shared" si="67"/>
        <v>-3.3233110736595871E-2</v>
      </c>
      <c r="Y78" s="66">
        <f t="shared" si="68"/>
        <v>-1.9041169852978459</v>
      </c>
      <c r="Z78" s="49">
        <f t="shared" si="110"/>
        <v>1511.5475280164512</v>
      </c>
      <c r="AA78" s="305">
        <f t="shared" si="103"/>
        <v>1043.8931041950825</v>
      </c>
      <c r="AB78" s="309">
        <f t="shared" si="70"/>
        <v>163.11501562500001</v>
      </c>
      <c r="AC78" s="45">
        <f t="shared" si="71"/>
        <v>161.1183770593189</v>
      </c>
      <c r="AD78" s="45">
        <f t="shared" si="111"/>
        <v>1672.5769405023004</v>
      </c>
      <c r="AE78" s="36">
        <f t="shared" si="112"/>
        <v>1049.2465835021385</v>
      </c>
      <c r="AF78" s="47">
        <f t="shared" si="104"/>
        <v>1432.2535881361514</v>
      </c>
      <c r="AG78" s="19">
        <f t="shared" si="105"/>
        <v>307.89753474192651</v>
      </c>
      <c r="AH78" s="19">
        <f t="shared" si="76"/>
        <v>1464.974823206541</v>
      </c>
      <c r="AI78" s="19">
        <f t="shared" si="113"/>
        <v>0.21175147673468891</v>
      </c>
      <c r="AJ78" s="19">
        <f t="shared" si="114"/>
        <v>12.132465922560318</v>
      </c>
      <c r="AK78" s="19">
        <f t="shared" si="77"/>
        <v>10.132465922560318</v>
      </c>
      <c r="AL78" s="19">
        <f t="shared" si="115"/>
        <v>0.17684489169480233</v>
      </c>
      <c r="AM78" s="19">
        <f t="shared" si="78"/>
        <v>1442.1265669468896</v>
      </c>
      <c r="AN78" s="19">
        <f t="shared" si="116"/>
        <v>257.72504250657192</v>
      </c>
      <c r="AO78" s="19">
        <f t="shared" si="106"/>
        <v>1691.1747934886639</v>
      </c>
      <c r="AP78" s="19">
        <f t="shared" si="107"/>
        <v>999.07409126678385</v>
      </c>
      <c r="AQ78" s="234">
        <f t="shared" si="108"/>
        <v>1682.4499193130387</v>
      </c>
      <c r="AR78" s="235">
        <f t="shared" si="109"/>
        <v>999.07409126678385</v>
      </c>
      <c r="AS78" s="319">
        <f t="shared" si="117"/>
        <v>1.5691228524916059</v>
      </c>
      <c r="AT78" s="65">
        <f t="shared" si="118"/>
        <v>89.904116985297847</v>
      </c>
      <c r="AU78" s="65">
        <f t="shared" si="119"/>
        <v>8.367367610960938E-2</v>
      </c>
      <c r="AV78" s="65">
        <f t="shared" si="120"/>
        <v>49.999929987110249</v>
      </c>
      <c r="AW78" s="18">
        <f t="shared" si="91"/>
        <v>1691.2584671647735</v>
      </c>
      <c r="AX78" s="24">
        <f t="shared" si="92"/>
        <v>1049.074021253894</v>
      </c>
    </row>
    <row r="79" spans="1:92" x14ac:dyDescent="0.25">
      <c r="A79" t="b">
        <v>0</v>
      </c>
      <c r="B79" s="445"/>
      <c r="C79" s="123">
        <v>20</v>
      </c>
      <c r="D79" s="12">
        <f>VLOOKUP(INPUT!$C$4,'Vehicle &amp; Track Data'!$A$4:$AD$20,C79+1,FALSE)</f>
        <v>1485</v>
      </c>
      <c r="E79" s="166">
        <f>VLOOKUP(INPUT!$C$4,'Vehicle &amp; Track Data'!$A$23:$AD$39,C79+1,FALSE)</f>
        <v>3580</v>
      </c>
      <c r="F79" s="62">
        <f t="shared" si="93"/>
        <v>1461.1640042756608</v>
      </c>
      <c r="G79" s="18">
        <f t="shared" si="94"/>
        <v>3594.5555227974351</v>
      </c>
      <c r="H79" s="18">
        <f t="shared" si="95"/>
        <v>1508.7387551062257</v>
      </c>
      <c r="I79" s="18">
        <f t="shared" si="96"/>
        <v>3565.2864198074017</v>
      </c>
      <c r="J79" s="18">
        <f t="shared" si="97"/>
        <v>1508.7704328104237</v>
      </c>
      <c r="K79" s="18">
        <f t="shared" si="98"/>
        <v>3574.821303528332</v>
      </c>
      <c r="L79" s="18">
        <f t="shared" si="99"/>
        <v>1461.1956819798588</v>
      </c>
      <c r="M79" s="24">
        <f t="shared" si="100"/>
        <v>3585.0206390765047</v>
      </c>
      <c r="N79" s="225">
        <f t="shared" si="102"/>
        <v>1508.7704328104237</v>
      </c>
      <c r="O79" s="280">
        <f t="shared" si="101"/>
        <v>3574.821303528332</v>
      </c>
      <c r="U79" s="261"/>
      <c r="V79" s="123">
        <v>23</v>
      </c>
      <c r="W79" s="327">
        <f t="shared" si="66"/>
        <v>266.82901064064117</v>
      </c>
      <c r="X79" s="221">
        <f t="shared" si="67"/>
        <v>-3.3233110736595871E-2</v>
      </c>
      <c r="Y79" s="66">
        <f t="shared" si="68"/>
        <v>-1.9041169852978459</v>
      </c>
      <c r="Z79" s="49">
        <f t="shared" si="110"/>
        <v>1537.2984481702756</v>
      </c>
      <c r="AA79" s="305">
        <f t="shared" si="103"/>
        <v>269.32103517165643</v>
      </c>
      <c r="AB79" s="309">
        <f t="shared" si="70"/>
        <v>163.11501562500001</v>
      </c>
      <c r="AC79" s="45">
        <f t="shared" si="71"/>
        <v>161.1183770593189</v>
      </c>
      <c r="AD79" s="45">
        <f t="shared" si="111"/>
        <v>1698.3278606561248</v>
      </c>
      <c r="AE79" s="36">
        <f t="shared" si="112"/>
        <v>274.67451447871235</v>
      </c>
      <c r="AF79" s="47">
        <f t="shared" si="104"/>
        <v>1458.0045082899758</v>
      </c>
      <c r="AG79" s="19">
        <f t="shared" si="105"/>
        <v>-466.67453428149963</v>
      </c>
      <c r="AH79" s="19">
        <f t="shared" si="76"/>
        <v>1530.8697747165659</v>
      </c>
      <c r="AI79" s="19">
        <f t="shared" si="113"/>
        <v>-0.30977330402037834</v>
      </c>
      <c r="AJ79" s="19">
        <f t="shared" si="114"/>
        <v>-17.748702926190614</v>
      </c>
      <c r="AK79" s="19">
        <f t="shared" si="77"/>
        <v>-19.748702926190614</v>
      </c>
      <c r="AL79" s="19">
        <f t="shared" si="115"/>
        <v>-0.34467988906026492</v>
      </c>
      <c r="AM79" s="19">
        <f t="shared" si="78"/>
        <v>1440.8296249671907</v>
      </c>
      <c r="AN79" s="19">
        <f t="shared" si="116"/>
        <v>-517.27387229363683</v>
      </c>
      <c r="AO79" s="19">
        <f t="shared" si="106"/>
        <v>1689.8778515089648</v>
      </c>
      <c r="AP79" s="19">
        <f t="shared" si="107"/>
        <v>224.07517646657516</v>
      </c>
      <c r="AQ79" s="234">
        <f t="shared" si="108"/>
        <v>1681.1529773333398</v>
      </c>
      <c r="AR79" s="235">
        <f t="shared" si="109"/>
        <v>224.07517646657516</v>
      </c>
      <c r="AS79" s="319">
        <f t="shared" si="117"/>
        <v>1.5691228524916059</v>
      </c>
      <c r="AT79" s="65">
        <f t="shared" si="118"/>
        <v>89.904116985297847</v>
      </c>
      <c r="AU79" s="65">
        <f t="shared" si="119"/>
        <v>8.367367610960938E-2</v>
      </c>
      <c r="AV79" s="65">
        <f t="shared" si="120"/>
        <v>49.999929987110249</v>
      </c>
      <c r="AW79" s="18">
        <f t="shared" si="91"/>
        <v>1689.9615251850744</v>
      </c>
      <c r="AX79" s="24">
        <f t="shared" si="92"/>
        <v>274.07510645368541</v>
      </c>
    </row>
    <row r="80" spans="1:92" x14ac:dyDescent="0.25">
      <c r="A80" t="b">
        <v>0</v>
      </c>
      <c r="B80" s="445"/>
      <c r="C80" s="123">
        <v>21</v>
      </c>
      <c r="D80" s="12">
        <f>VLOOKUP(INPUT!$C$4,'Vehicle &amp; Track Data'!$A$4:$AD$20,C80+1,FALSE)</f>
        <v>1485</v>
      </c>
      <c r="E80" s="166">
        <f>VLOOKUP(INPUT!$C$4,'Vehicle &amp; Track Data'!$A$23:$AD$39,C80+1,FALSE)</f>
        <v>1120</v>
      </c>
      <c r="F80" s="62">
        <f t="shared" si="93"/>
        <v>1477.509519225827</v>
      </c>
      <c r="G80" s="18">
        <f t="shared" si="94"/>
        <v>1134.6098274332035</v>
      </c>
      <c r="H80" s="18">
        <f t="shared" si="95"/>
        <v>1492.3932401560594</v>
      </c>
      <c r="I80" s="18">
        <f t="shared" si="96"/>
        <v>1105.3407244431701</v>
      </c>
      <c r="J80" s="18">
        <f t="shared" si="97"/>
        <v>1492.4249178602574</v>
      </c>
      <c r="K80" s="18">
        <f t="shared" si="98"/>
        <v>1114.8756081641004</v>
      </c>
      <c r="L80" s="18">
        <f t="shared" si="99"/>
        <v>1477.5411969300251</v>
      </c>
      <c r="M80" s="24">
        <f t="shared" si="100"/>
        <v>1125.0749437122731</v>
      </c>
      <c r="N80" s="225">
        <f t="shared" si="102"/>
        <v>1492.3932401560594</v>
      </c>
      <c r="O80" s="280">
        <f t="shared" si="101"/>
        <v>1105.3407244431701</v>
      </c>
      <c r="U80" s="261"/>
      <c r="V80" s="123">
        <v>24</v>
      </c>
      <c r="W80" s="327">
        <f t="shared" si="66"/>
        <v>66.293370696252907</v>
      </c>
      <c r="X80" s="221">
        <f t="shared" si="67"/>
        <v>-3.3233110736595871E-2</v>
      </c>
      <c r="Y80" s="66">
        <f t="shared" si="68"/>
        <v>-1.9041169852978459</v>
      </c>
      <c r="Z80" s="49">
        <f t="shared" si="110"/>
        <v>1313.8382568338891</v>
      </c>
      <c r="AA80" s="305">
        <f t="shared" si="103"/>
        <v>68.785395227268197</v>
      </c>
      <c r="AB80" s="309">
        <f t="shared" si="70"/>
        <v>163.11501562500001</v>
      </c>
      <c r="AC80" s="45">
        <f t="shared" si="71"/>
        <v>161.1183770593189</v>
      </c>
      <c r="AD80" s="45">
        <f t="shared" si="111"/>
        <v>1474.8676693197383</v>
      </c>
      <c r="AE80" s="36">
        <f t="shared" si="112"/>
        <v>74.138874534324103</v>
      </c>
      <c r="AF80" s="47">
        <f t="shared" si="104"/>
        <v>1234.5443169535893</v>
      </c>
      <c r="AG80" s="19">
        <f t="shared" si="105"/>
        <v>-667.21017422588784</v>
      </c>
      <c r="AH80" s="19">
        <f t="shared" si="76"/>
        <v>1403.3064836709564</v>
      </c>
      <c r="AI80" s="19">
        <f t="shared" si="113"/>
        <v>-0.49548204065724788</v>
      </c>
      <c r="AJ80" s="19">
        <f t="shared" si="114"/>
        <v>-28.389029754189767</v>
      </c>
      <c r="AK80" s="19">
        <f t="shared" si="77"/>
        <v>-30.389029754189767</v>
      </c>
      <c r="AL80" s="19">
        <f t="shared" si="115"/>
        <v>-0.53038862569713452</v>
      </c>
      <c r="AM80" s="19">
        <f t="shared" si="78"/>
        <v>1210.5069666367008</v>
      </c>
      <c r="AN80" s="19">
        <f t="shared" si="116"/>
        <v>-709.88870313377822</v>
      </c>
      <c r="AO80" s="19">
        <f t="shared" si="106"/>
        <v>1459.5551931784751</v>
      </c>
      <c r="AP80" s="19">
        <f t="shared" si="107"/>
        <v>31.460345626433764</v>
      </c>
      <c r="AQ80" s="234">
        <f t="shared" si="108"/>
        <v>1450.8303190028498</v>
      </c>
      <c r="AR80" s="235">
        <f t="shared" si="109"/>
        <v>31.460345626433764</v>
      </c>
      <c r="AS80" s="319">
        <f t="shared" si="117"/>
        <v>1.5691228524916059</v>
      </c>
      <c r="AT80" s="65">
        <f t="shared" si="118"/>
        <v>89.904116985297847</v>
      </c>
      <c r="AU80" s="65">
        <f t="shared" si="119"/>
        <v>8.367367610960938E-2</v>
      </c>
      <c r="AV80" s="65">
        <f t="shared" si="120"/>
        <v>49.999929987110249</v>
      </c>
      <c r="AW80" s="18">
        <f t="shared" si="91"/>
        <v>1459.6388668545846</v>
      </c>
      <c r="AX80" s="24">
        <f t="shared" si="92"/>
        <v>81.460275613544013</v>
      </c>
    </row>
    <row r="81" spans="1:50" x14ac:dyDescent="0.25">
      <c r="A81" t="b">
        <v>0</v>
      </c>
      <c r="B81" s="445"/>
      <c r="C81" s="123">
        <v>22</v>
      </c>
      <c r="D81" s="12">
        <f>VLOOKUP(INPUT!$C$4,'Vehicle &amp; Track Data'!$A$4:$AD$20,C81+1,FALSE)</f>
        <v>1450</v>
      </c>
      <c r="E81" s="166">
        <f>VLOOKUP(INPUT!$C$4,'Vehicle &amp; Track Data'!$A$23:$AD$39,C81+1,FALSE)</f>
        <v>1120</v>
      </c>
      <c r="F81" s="62">
        <f t="shared" si="93"/>
        <v>1442.5102918527589</v>
      </c>
      <c r="G81" s="18">
        <f t="shared" si="94"/>
        <v>1134.3772692936684</v>
      </c>
      <c r="H81" s="18">
        <f t="shared" si="95"/>
        <v>1457.3940127829912</v>
      </c>
      <c r="I81" s="18">
        <f t="shared" si="96"/>
        <v>1105.5732825827051</v>
      </c>
      <c r="J81" s="18">
        <f t="shared" si="97"/>
        <v>1457.4256904871893</v>
      </c>
      <c r="K81" s="18">
        <f t="shared" si="98"/>
        <v>1115.1081663036352</v>
      </c>
      <c r="L81" s="18">
        <f t="shared" si="99"/>
        <v>1442.5419695569569</v>
      </c>
      <c r="M81" s="24">
        <f t="shared" si="100"/>
        <v>1124.8423855727383</v>
      </c>
      <c r="N81" s="225">
        <f t="shared" si="102"/>
        <v>1457.3940127829912</v>
      </c>
      <c r="O81" s="280">
        <f t="shared" si="101"/>
        <v>1105.5732825827051</v>
      </c>
      <c r="U81" s="261"/>
      <c r="V81" s="123">
        <v>25</v>
      </c>
      <c r="W81" s="327">
        <f t="shared" si="66"/>
        <v>56.98981244712914</v>
      </c>
      <c r="X81" s="221">
        <f t="shared" si="67"/>
        <v>-3.3233110736595871E-2</v>
      </c>
      <c r="Y81" s="66">
        <f t="shared" si="68"/>
        <v>-1.9041169852978459</v>
      </c>
      <c r="Z81" s="49">
        <f t="shared" si="110"/>
        <v>1033.9928641544573</v>
      </c>
      <c r="AA81" s="305">
        <f t="shared" si="103"/>
        <v>59.481836978144429</v>
      </c>
      <c r="AB81" s="309">
        <f t="shared" si="70"/>
        <v>163.11501562500001</v>
      </c>
      <c r="AC81" s="45">
        <f t="shared" si="71"/>
        <v>161.1183770593189</v>
      </c>
      <c r="AD81" s="45">
        <f t="shared" si="111"/>
        <v>1195.0222766403065</v>
      </c>
      <c r="AE81" s="36">
        <f t="shared" si="112"/>
        <v>64.835316285200335</v>
      </c>
      <c r="AF81" s="47">
        <f t="shared" si="104"/>
        <v>954.69892427415755</v>
      </c>
      <c r="AG81" s="19">
        <f t="shared" si="105"/>
        <v>-676.51373247501169</v>
      </c>
      <c r="AH81" s="19">
        <f t="shared" si="76"/>
        <v>1170.0943834740449</v>
      </c>
      <c r="AI81" s="19">
        <f t="shared" si="113"/>
        <v>-0.61648430180927216</v>
      </c>
      <c r="AJ81" s="19">
        <f t="shared" si="114"/>
        <v>-35.321948629740554</v>
      </c>
      <c r="AK81" s="19">
        <f t="shared" si="77"/>
        <v>-37.321948629740554</v>
      </c>
      <c r="AL81" s="19">
        <f t="shared" si="115"/>
        <v>-0.65139088684915869</v>
      </c>
      <c r="AM81" s="19">
        <f t="shared" si="78"/>
        <v>930.50735870888298</v>
      </c>
      <c r="AN81" s="19">
        <f t="shared" si="116"/>
        <v>-709.42013054756433</v>
      </c>
      <c r="AO81" s="19">
        <f t="shared" si="106"/>
        <v>1179.5555852506575</v>
      </c>
      <c r="AP81" s="19">
        <f t="shared" si="107"/>
        <v>31.928918212647545</v>
      </c>
      <c r="AQ81" s="234">
        <f t="shared" si="108"/>
        <v>1170.830711075032</v>
      </c>
      <c r="AR81" s="235">
        <f t="shared" si="109"/>
        <v>31.928918212647659</v>
      </c>
      <c r="AS81" s="319">
        <f t="shared" si="117"/>
        <v>1.5691228524916059</v>
      </c>
      <c r="AT81" s="65">
        <f t="shared" si="118"/>
        <v>89.904116985297847</v>
      </c>
      <c r="AU81" s="65">
        <f t="shared" si="119"/>
        <v>8.367367610960938E-2</v>
      </c>
      <c r="AV81" s="65">
        <f t="shared" si="120"/>
        <v>49.999929987110249</v>
      </c>
      <c r="AW81" s="18">
        <f t="shared" si="91"/>
        <v>1179.6392589267671</v>
      </c>
      <c r="AX81" s="24">
        <f t="shared" si="92"/>
        <v>81.928848199757795</v>
      </c>
    </row>
    <row r="82" spans="1:50" x14ac:dyDescent="0.25">
      <c r="A82" t="b">
        <v>0</v>
      </c>
      <c r="B82" s="445"/>
      <c r="C82" s="123">
        <v>23</v>
      </c>
      <c r="D82" s="12">
        <f>VLOOKUP(INPUT!$C$4,'Vehicle &amp; Track Data'!$A$4:$AD$20,C82+1,FALSE)</f>
        <v>1450</v>
      </c>
      <c r="E82" s="166">
        <f>VLOOKUP(INPUT!$C$4,'Vehicle &amp; Track Data'!$A$23:$AD$39,C82+1,FALSE)</f>
        <v>345</v>
      </c>
      <c r="F82" s="62">
        <f t="shared" si="93"/>
        <v>1447.6597935138884</v>
      </c>
      <c r="G82" s="18">
        <f t="shared" si="94"/>
        <v>359.39437746144108</v>
      </c>
      <c r="H82" s="18">
        <f t="shared" si="95"/>
        <v>1452.2445111218617</v>
      </c>
      <c r="I82" s="18">
        <f t="shared" si="96"/>
        <v>330.59039075047758</v>
      </c>
      <c r="J82" s="18">
        <f t="shared" si="97"/>
        <v>1452.2761888260598</v>
      </c>
      <c r="K82" s="18">
        <f t="shared" si="98"/>
        <v>340.12527447140786</v>
      </c>
      <c r="L82" s="18">
        <f t="shared" si="99"/>
        <v>1447.6914712180865</v>
      </c>
      <c r="M82" s="24">
        <f t="shared" si="100"/>
        <v>349.8594937405108</v>
      </c>
      <c r="N82" s="225">
        <f t="shared" si="102"/>
        <v>1452.2445111218617</v>
      </c>
      <c r="O82" s="280">
        <f t="shared" si="101"/>
        <v>330.59039075047758</v>
      </c>
      <c r="U82" s="261"/>
      <c r="V82" s="123">
        <v>26</v>
      </c>
      <c r="W82" s="327">
        <f t="shared" si="66"/>
        <v>-94.926257864562189</v>
      </c>
      <c r="X82" s="221">
        <f t="shared" si="67"/>
        <v>-3.3233110736595871E-2</v>
      </c>
      <c r="Y82" s="66">
        <f t="shared" si="68"/>
        <v>-1.9041169852978459</v>
      </c>
      <c r="Z82" s="49">
        <f t="shared" si="110"/>
        <v>1039.0433672039817</v>
      </c>
      <c r="AA82" s="305">
        <f t="shared" si="103"/>
        <v>-92.434233333546899</v>
      </c>
      <c r="AB82" s="309">
        <f t="shared" si="70"/>
        <v>163.11501562500001</v>
      </c>
      <c r="AC82" s="45">
        <f t="shared" si="71"/>
        <v>161.1183770593189</v>
      </c>
      <c r="AD82" s="45">
        <f t="shared" si="111"/>
        <v>1200.0727796898309</v>
      </c>
      <c r="AE82" s="36">
        <f t="shared" si="112"/>
        <v>-87.080754026490993</v>
      </c>
      <c r="AF82" s="47">
        <f t="shared" si="104"/>
        <v>959.74942732368197</v>
      </c>
      <c r="AG82" s="19">
        <f t="shared" si="105"/>
        <v>-828.42980278670302</v>
      </c>
      <c r="AH82" s="19">
        <f t="shared" si="76"/>
        <v>1267.8386732519841</v>
      </c>
      <c r="AI82" s="19">
        <f t="shared" si="113"/>
        <v>-0.71209213751764</v>
      </c>
      <c r="AJ82" s="19">
        <f t="shared" si="114"/>
        <v>-40.799874104210197</v>
      </c>
      <c r="AK82" s="19">
        <f t="shared" si="77"/>
        <v>-42.799874104210197</v>
      </c>
      <c r="AL82" s="19">
        <f t="shared" si="115"/>
        <v>-0.74699872255752653</v>
      </c>
      <c r="AM82" s="19">
        <f t="shared" si="78"/>
        <v>930.25299073351005</v>
      </c>
      <c r="AN82" s="19">
        <f t="shared" si="116"/>
        <v>-861.41991770837944</v>
      </c>
      <c r="AO82" s="19">
        <f t="shared" si="106"/>
        <v>1179.3012172752842</v>
      </c>
      <c r="AP82" s="19">
        <f t="shared" si="107"/>
        <v>-120.07086894816757</v>
      </c>
      <c r="AQ82" s="234">
        <f t="shared" si="108"/>
        <v>1170.576343099659</v>
      </c>
      <c r="AR82" s="235">
        <f t="shared" si="109"/>
        <v>-120.07086894816746</v>
      </c>
      <c r="AS82" s="319">
        <f t="shared" si="117"/>
        <v>1.5691228524916059</v>
      </c>
      <c r="AT82" s="65">
        <f t="shared" si="118"/>
        <v>89.904116985297847</v>
      </c>
      <c r="AU82" s="65">
        <f t="shared" si="119"/>
        <v>8.367367610960938E-2</v>
      </c>
      <c r="AV82" s="65">
        <f t="shared" si="120"/>
        <v>49.999929987110249</v>
      </c>
      <c r="AW82" s="18">
        <f t="shared" si="91"/>
        <v>1179.3848909513938</v>
      </c>
      <c r="AX82" s="24">
        <f t="shared" si="92"/>
        <v>-70.070938961057323</v>
      </c>
    </row>
    <row r="83" spans="1:50" x14ac:dyDescent="0.25">
      <c r="A83" t="b">
        <v>0</v>
      </c>
      <c r="B83" s="445"/>
      <c r="C83" s="123">
        <v>24</v>
      </c>
      <c r="D83" s="12">
        <f>VLOOKUP(INPUT!$C$4,'Vehicle &amp; Track Data'!$A$4:$AD$20,C83+1,FALSE)</f>
        <v>1220</v>
      </c>
      <c r="E83" s="166">
        <f>VLOOKUP(INPUT!$C$4,'Vehicle &amp; Track Data'!$A$23:$AD$39,C83+1,FALSE)</f>
        <v>152</v>
      </c>
      <c r="F83" s="62">
        <f t="shared" si="93"/>
        <v>1218.9472628031601</v>
      </c>
      <c r="G83" s="18">
        <f t="shared" si="94"/>
        <v>164.87039874443499</v>
      </c>
      <c r="H83" s="18">
        <f t="shared" si="95"/>
        <v>1220.9671963579774</v>
      </c>
      <c r="I83" s="18">
        <f t="shared" si="96"/>
        <v>139.12289043878715</v>
      </c>
      <c r="J83" s="18">
        <f t="shared" si="97"/>
        <v>1220.9988740621754</v>
      </c>
      <c r="K83" s="18">
        <f t="shared" si="98"/>
        <v>148.65777415971738</v>
      </c>
      <c r="L83" s="18">
        <f t="shared" si="99"/>
        <v>1218.9789405073582</v>
      </c>
      <c r="M83" s="24">
        <f t="shared" si="100"/>
        <v>155.33551502350477</v>
      </c>
      <c r="N83" s="225">
        <f t="shared" si="102"/>
        <v>1220.9671963579774</v>
      </c>
      <c r="O83" s="280">
        <f t="shared" si="101"/>
        <v>139.12289043878715</v>
      </c>
      <c r="U83" s="261"/>
      <c r="V83" s="123">
        <v>27</v>
      </c>
      <c r="W83" s="327">
        <f t="shared" si="66"/>
        <v>-103.59850323249537</v>
      </c>
      <c r="X83" s="221">
        <f t="shared" si="67"/>
        <v>-3.3233110736595871E-2</v>
      </c>
      <c r="Y83" s="66">
        <f t="shared" si="68"/>
        <v>-1.9041169852978459</v>
      </c>
      <c r="Z83" s="49">
        <f t="shared" si="110"/>
        <v>778.18748331351185</v>
      </c>
      <c r="AA83" s="305">
        <f t="shared" si="103"/>
        <v>-101.10647870148009</v>
      </c>
      <c r="AB83" s="309">
        <f t="shared" si="70"/>
        <v>163.11501562500001</v>
      </c>
      <c r="AC83" s="45">
        <f t="shared" si="71"/>
        <v>161.1183770593189</v>
      </c>
      <c r="AD83" s="45">
        <f t="shared" si="111"/>
        <v>939.21689579936105</v>
      </c>
      <c r="AE83" s="36">
        <f t="shared" si="112"/>
        <v>-95.75299939442418</v>
      </c>
      <c r="AF83" s="47">
        <f t="shared" si="104"/>
        <v>698.89354343321213</v>
      </c>
      <c r="AG83" s="19">
        <f t="shared" si="105"/>
        <v>-837.10204815463612</v>
      </c>
      <c r="AH83" s="19">
        <f t="shared" si="76"/>
        <v>1090.5008134235013</v>
      </c>
      <c r="AI83" s="19">
        <f t="shared" si="113"/>
        <v>-0.87513625373861481</v>
      </c>
      <c r="AJ83" s="19">
        <f t="shared" si="114"/>
        <v>-50.141613838112541</v>
      </c>
      <c r="AK83" s="19">
        <f t="shared" si="77"/>
        <v>-52.141613838112541</v>
      </c>
      <c r="AL83" s="19">
        <f t="shared" si="115"/>
        <v>-0.91004283877850145</v>
      </c>
      <c r="AM83" s="19">
        <f t="shared" si="78"/>
        <v>669.25335620079466</v>
      </c>
      <c r="AN83" s="19">
        <f t="shared" si="116"/>
        <v>-860.98314111908746</v>
      </c>
      <c r="AO83" s="19">
        <f t="shared" si="106"/>
        <v>918.30158274256883</v>
      </c>
      <c r="AP83" s="19">
        <f t="shared" si="107"/>
        <v>-119.63409235887525</v>
      </c>
      <c r="AQ83" s="234">
        <f t="shared" si="108"/>
        <v>909.57670856694358</v>
      </c>
      <c r="AR83" s="235">
        <f t="shared" si="109"/>
        <v>-119.63409235887548</v>
      </c>
      <c r="AS83" s="319">
        <f t="shared" si="117"/>
        <v>1.5691228524916059</v>
      </c>
      <c r="AT83" s="65">
        <f t="shared" si="118"/>
        <v>89.904116985297847</v>
      </c>
      <c r="AU83" s="65">
        <f t="shared" si="119"/>
        <v>8.367367610960938E-2</v>
      </c>
      <c r="AV83" s="65">
        <f t="shared" si="120"/>
        <v>49.999929987110249</v>
      </c>
      <c r="AW83" s="18">
        <f t="shared" si="91"/>
        <v>918.38525641867841</v>
      </c>
      <c r="AX83" s="24">
        <f t="shared" si="92"/>
        <v>-69.634162371765001</v>
      </c>
    </row>
    <row r="84" spans="1:50" ht="12" thickBot="1" x14ac:dyDescent="0.3">
      <c r="A84" t="b">
        <v>0</v>
      </c>
      <c r="B84" s="445"/>
      <c r="C84" s="123">
        <v>25</v>
      </c>
      <c r="D84" s="12">
        <f>VLOOKUP(INPUT!$C$4,'Vehicle &amp; Track Data'!$A$4:$AD$20,C84+1,FALSE)</f>
        <v>940</v>
      </c>
      <c r="E84" s="166">
        <f>VLOOKUP(INPUT!$C$4,'Vehicle &amp; Track Data'!$A$23:$AD$39,C84+1,FALSE)</f>
        <v>152</v>
      </c>
      <c r="F84" s="62">
        <f t="shared" si="93"/>
        <v>938.95344381861332</v>
      </c>
      <c r="G84" s="18">
        <f t="shared" si="94"/>
        <v>163.00993362815592</v>
      </c>
      <c r="H84" s="18">
        <f t="shared" si="95"/>
        <v>940.97337737343059</v>
      </c>
      <c r="I84" s="18">
        <f t="shared" si="96"/>
        <v>140.98335555506623</v>
      </c>
      <c r="J84" s="18">
        <f t="shared" si="97"/>
        <v>941.00505507762875</v>
      </c>
      <c r="K84" s="18">
        <f t="shared" si="98"/>
        <v>150.51823927599645</v>
      </c>
      <c r="L84" s="18">
        <f t="shared" si="99"/>
        <v>938.98512152281148</v>
      </c>
      <c r="M84" s="24">
        <f t="shared" si="100"/>
        <v>153.4750499072257</v>
      </c>
      <c r="N84" s="225">
        <f t="shared" si="102"/>
        <v>940.97337737343059</v>
      </c>
      <c r="O84" s="280">
        <f t="shared" si="101"/>
        <v>140.98335555506623</v>
      </c>
      <c r="U84" s="261"/>
      <c r="V84" s="124" t="s">
        <v>42</v>
      </c>
      <c r="W84" s="327">
        <f t="shared" si="66"/>
        <v>483.5035449221408</v>
      </c>
      <c r="X84" s="221">
        <f t="shared" si="67"/>
        <v>-3.3233110736595871E-2</v>
      </c>
      <c r="Y84" s="66">
        <f t="shared" si="68"/>
        <v>-1.9041169852978459</v>
      </c>
      <c r="Z84" s="49">
        <f t="shared" si="110"/>
        <v>79.293939880299689</v>
      </c>
      <c r="AA84" s="306">
        <f t="shared" si="103"/>
        <v>485.99556945315607</v>
      </c>
      <c r="AB84" s="310">
        <f t="shared" si="70"/>
        <v>163.11501562500001</v>
      </c>
      <c r="AC84" s="311">
        <f t="shared" si="71"/>
        <v>161.1183770593189</v>
      </c>
      <c r="AD84" s="311">
        <f t="shared" si="111"/>
        <v>240.32335236614895</v>
      </c>
      <c r="AE84" s="312">
        <f t="shared" si="112"/>
        <v>491.34904876021199</v>
      </c>
      <c r="AF84" s="4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36"/>
      <c r="AR84" s="237"/>
      <c r="AS84" s="320"/>
      <c r="AT84" s="80"/>
      <c r="AU84" s="80"/>
      <c r="AV84" s="80"/>
      <c r="AW84" s="27"/>
      <c r="AX84" s="29"/>
    </row>
    <row r="85" spans="1:50" x14ac:dyDescent="0.25">
      <c r="A85" t="b">
        <v>0</v>
      </c>
      <c r="B85" s="445"/>
      <c r="C85" s="123">
        <v>26</v>
      </c>
      <c r="D85" s="12">
        <f>VLOOKUP(INPUT!$C$4,'Vehicle &amp; Track Data'!$A$4:$AD$20,C85+1,FALSE)</f>
        <v>940</v>
      </c>
      <c r="E85" s="166">
        <f>VLOOKUP(INPUT!$C$4,'Vehicle &amp; Track Data'!$A$23:$AD$39,C85+1,FALSE)</f>
        <v>0</v>
      </c>
      <c r="F85" s="62">
        <f t="shared" si="93"/>
        <v>939.96341059602196</v>
      </c>
      <c r="G85" s="18">
        <f t="shared" si="94"/>
        <v>11.013289036544849</v>
      </c>
      <c r="H85" s="18">
        <f t="shared" si="95"/>
        <v>939.96341059602196</v>
      </c>
      <c r="I85" s="18">
        <f t="shared" si="96"/>
        <v>-11.013289036544849</v>
      </c>
      <c r="J85" s="18">
        <f t="shared" si="97"/>
        <v>939.99508830022012</v>
      </c>
      <c r="K85" s="18">
        <f t="shared" si="98"/>
        <v>-1.4784053156146177</v>
      </c>
      <c r="L85" s="18">
        <f t="shared" si="99"/>
        <v>939.99508830022012</v>
      </c>
      <c r="M85" s="24">
        <f t="shared" si="100"/>
        <v>1.4784053156146177</v>
      </c>
      <c r="N85" s="225">
        <f t="shared" si="102"/>
        <v>939.96341059602196</v>
      </c>
      <c r="O85" s="280">
        <f t="shared" si="101"/>
        <v>-11.013289036544849</v>
      </c>
      <c r="U85" s="261"/>
      <c r="V85" s="13"/>
      <c r="W85" s="348"/>
      <c r="X85" s="99"/>
      <c r="Y85" s="261"/>
      <c r="Z85" s="13"/>
      <c r="AA85" s="11"/>
      <c r="AB85" s="13"/>
      <c r="AC85" s="261"/>
      <c r="AD85" s="13"/>
      <c r="AE85" s="13"/>
      <c r="AF85" s="13"/>
      <c r="AG85" s="13"/>
      <c r="AH85" s="13"/>
      <c r="AI85" s="13"/>
      <c r="AJ85" s="13"/>
      <c r="AK85" s="13"/>
      <c r="AL85" s="13"/>
      <c r="AM85" s="11"/>
      <c r="AN85" s="11"/>
      <c r="AO85" s="11"/>
      <c r="AP85" s="11"/>
      <c r="AQ85" s="13"/>
    </row>
    <row r="86" spans="1:50" x14ac:dyDescent="0.25">
      <c r="A86" t="b">
        <v>0</v>
      </c>
      <c r="B86" s="445"/>
      <c r="C86" s="123">
        <v>27</v>
      </c>
      <c r="D86" s="12">
        <f>VLOOKUP(INPUT!$C$4,'Vehicle &amp; Track Data'!$A$4:$AD$20,C86+1,FALSE)</f>
        <v>679</v>
      </c>
      <c r="E86" s="166">
        <f>VLOOKUP(INPUT!$C$4,'Vehicle &amp; Track Data'!$A$23:$AD$39,C86+1,FALSE)</f>
        <v>0</v>
      </c>
      <c r="F86" s="62">
        <f t="shared" si="93"/>
        <v>678.96917218542671</v>
      </c>
      <c r="G86" s="18">
        <f t="shared" si="94"/>
        <v>9.2790697674418592</v>
      </c>
      <c r="H86" s="18">
        <f t="shared" si="95"/>
        <v>678.96917218542671</v>
      </c>
      <c r="I86" s="18">
        <f t="shared" si="96"/>
        <v>-9.2790697674418592</v>
      </c>
      <c r="J86" s="18">
        <f t="shared" si="97"/>
        <v>679.00084988962487</v>
      </c>
      <c r="K86" s="18">
        <f t="shared" si="98"/>
        <v>0.25581395348837205</v>
      </c>
      <c r="L86" s="18">
        <f t="shared" si="99"/>
        <v>679.00084988962487</v>
      </c>
      <c r="M86" s="24">
        <f t="shared" si="100"/>
        <v>-0.25581395348837205</v>
      </c>
      <c r="N86" s="225">
        <f t="shared" si="102"/>
        <v>678.96917218542671</v>
      </c>
      <c r="O86" s="280">
        <f t="shared" si="101"/>
        <v>-9.2790697674418592</v>
      </c>
      <c r="U86" s="261"/>
      <c r="V86" s="13"/>
      <c r="W86" s="99"/>
      <c r="X86" s="99"/>
      <c r="Y86" s="261"/>
      <c r="Z86" s="13"/>
      <c r="AA86" s="11"/>
      <c r="AB86" s="13"/>
      <c r="AC86" s="261"/>
      <c r="AD86" s="13"/>
      <c r="AE86" s="13"/>
      <c r="AF86" s="13"/>
      <c r="AG86" s="13"/>
      <c r="AH86" s="13"/>
      <c r="AI86" s="13"/>
      <c r="AJ86" s="13"/>
      <c r="AK86" s="13"/>
      <c r="AL86" s="13"/>
      <c r="AM86" s="11"/>
      <c r="AN86" s="11"/>
      <c r="AO86" s="11"/>
      <c r="AP86" s="11"/>
      <c r="AQ86" s="13"/>
    </row>
    <row r="87" spans="1:50" ht="12" thickBot="1" x14ac:dyDescent="0.3">
      <c r="A87" t="b">
        <v>0</v>
      </c>
      <c r="B87" s="446"/>
      <c r="C87" s="31" t="s">
        <v>42</v>
      </c>
      <c r="D87" s="30">
        <v>0</v>
      </c>
      <c r="E87" s="168">
        <v>610</v>
      </c>
      <c r="F87" s="63">
        <f t="shared" si="93"/>
        <v>-4.0689949982785381</v>
      </c>
      <c r="G87" s="27">
        <f t="shared" si="94"/>
        <v>614.75397607679906</v>
      </c>
      <c r="H87" s="27">
        <f t="shared" si="95"/>
        <v>4.0373172940802649</v>
      </c>
      <c r="I87" s="27">
        <f t="shared" si="96"/>
        <v>605.21909235586872</v>
      </c>
      <c r="J87" s="27">
        <f t="shared" si="97"/>
        <v>4.0689949982785381</v>
      </c>
      <c r="K87" s="27">
        <f t="shared" si="98"/>
        <v>614.75397607679906</v>
      </c>
      <c r="L87" s="27">
        <f t="shared" si="99"/>
        <v>-4.0373172940802649</v>
      </c>
      <c r="M87" s="29">
        <f t="shared" si="100"/>
        <v>605.21909235586872</v>
      </c>
      <c r="N87" s="228">
        <f t="shared" si="102"/>
        <v>4.0373172940802649</v>
      </c>
      <c r="O87" s="229">
        <f t="shared" si="101"/>
        <v>605.21909235586872</v>
      </c>
      <c r="U87" s="261"/>
      <c r="V87" s="13"/>
      <c r="W87" s="99"/>
      <c r="X87" s="99"/>
      <c r="Y87" s="261"/>
      <c r="Z87" s="13"/>
      <c r="AA87" s="13"/>
      <c r="AB87" s="13"/>
      <c r="AC87" s="261"/>
      <c r="AD87" s="13"/>
      <c r="AE87" s="13"/>
      <c r="AF87" s="13"/>
      <c r="AG87" s="13"/>
      <c r="AH87" s="13"/>
      <c r="AI87" s="13"/>
      <c r="AJ87" s="13"/>
      <c r="AK87" s="13"/>
      <c r="AL87" s="13"/>
      <c r="AM87" s="11"/>
      <c r="AN87" s="11"/>
      <c r="AO87" s="11"/>
      <c r="AP87" s="11"/>
      <c r="AQ87" s="13"/>
    </row>
    <row r="88" spans="1:50" x14ac:dyDescent="0.25">
      <c r="N88" s="13"/>
      <c r="O88" s="261"/>
      <c r="P88" s="261"/>
      <c r="Q88" s="261"/>
      <c r="R88" s="13"/>
      <c r="S88" s="261"/>
      <c r="T88" s="261"/>
      <c r="U88" s="261"/>
      <c r="V88" s="13"/>
      <c r="W88" s="99"/>
      <c r="X88" s="99"/>
      <c r="Y88" s="261"/>
      <c r="Z88" s="13"/>
      <c r="AA88" s="13"/>
      <c r="AB88" s="13"/>
      <c r="AC88" s="261"/>
      <c r="AD88" s="13"/>
      <c r="AE88" s="13"/>
      <c r="AF88" s="13"/>
      <c r="AG88" s="13"/>
      <c r="AH88" s="13"/>
      <c r="AI88" s="13"/>
      <c r="AJ88" s="13"/>
      <c r="AK88" s="13"/>
      <c r="AL88" s="13"/>
      <c r="AM88" s="11"/>
      <c r="AN88" s="11"/>
      <c r="AO88" s="11"/>
      <c r="AP88" s="11"/>
      <c r="AQ88" s="13"/>
    </row>
    <row r="89" spans="1:50" x14ac:dyDescent="0.25">
      <c r="N89" s="13"/>
      <c r="O89" s="261"/>
      <c r="P89" s="261"/>
      <c r="Q89" s="261"/>
      <c r="R89" s="13"/>
      <c r="S89" s="261"/>
      <c r="T89" s="261"/>
      <c r="U89" s="261"/>
      <c r="V89" s="13"/>
      <c r="W89" s="99"/>
      <c r="X89" s="99"/>
      <c r="Y89" s="261"/>
      <c r="Z89" s="13"/>
      <c r="AA89" s="13"/>
      <c r="AB89" s="13"/>
      <c r="AC89" s="261"/>
      <c r="AD89" s="13"/>
      <c r="AE89" s="13"/>
      <c r="AF89" s="13"/>
      <c r="AG89" s="13"/>
      <c r="AH89" s="13"/>
      <c r="AI89" s="13"/>
      <c r="AJ89" s="13"/>
      <c r="AK89" s="13"/>
      <c r="AL89" s="13"/>
      <c r="AM89" s="11"/>
      <c r="AN89" s="11"/>
      <c r="AO89" s="11"/>
      <c r="AP89" s="11"/>
      <c r="AQ89" s="13"/>
    </row>
    <row r="90" spans="1:50" ht="12" thickBot="1" x14ac:dyDescent="0.3"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3"/>
      <c r="O90" s="261"/>
      <c r="P90" s="261"/>
      <c r="Q90" s="261"/>
      <c r="R90" s="13"/>
      <c r="S90" s="261"/>
      <c r="T90" s="261"/>
      <c r="U90" s="261"/>
      <c r="V90" s="13"/>
      <c r="W90" s="99"/>
      <c r="X90" s="99"/>
      <c r="Y90" s="261"/>
      <c r="Z90" s="13"/>
      <c r="AA90" s="13"/>
      <c r="AB90" s="13"/>
      <c r="AC90" s="261"/>
      <c r="AD90" s="13"/>
      <c r="AE90" s="13"/>
      <c r="AF90" s="13"/>
      <c r="AG90" s="13"/>
      <c r="AH90" s="13"/>
      <c r="AI90" s="13"/>
      <c r="AJ90" s="13"/>
      <c r="AK90" s="13"/>
      <c r="AL90" s="13"/>
      <c r="AM90" s="11"/>
      <c r="AN90" s="11"/>
      <c r="AO90" s="11"/>
      <c r="AP90" s="11"/>
      <c r="AQ90" s="13"/>
    </row>
    <row r="91" spans="1:50" ht="12" thickBot="1" x14ac:dyDescent="0.3">
      <c r="C91" s="433" t="s">
        <v>150</v>
      </c>
      <c r="D91" s="434"/>
      <c r="E91" s="434"/>
      <c r="F91" s="434"/>
      <c r="G91" s="434"/>
      <c r="H91" s="434"/>
      <c r="I91" s="434"/>
      <c r="J91" s="434"/>
      <c r="K91" s="434"/>
      <c r="L91" s="434"/>
      <c r="M91" s="434"/>
      <c r="N91" s="288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1"/>
      <c r="AN91" s="11"/>
      <c r="AO91" s="11"/>
      <c r="AP91" s="11"/>
      <c r="AQ91" s="13"/>
    </row>
    <row r="92" spans="1:50" x14ac:dyDescent="0.25">
      <c r="C92" s="238"/>
      <c r="D92" s="431" t="s">
        <v>185</v>
      </c>
      <c r="E92" s="432"/>
      <c r="F92" s="431" t="s">
        <v>186</v>
      </c>
      <c r="G92" s="432"/>
      <c r="H92" s="431" t="s">
        <v>187</v>
      </c>
      <c r="I92" s="432"/>
      <c r="J92" s="431" t="s">
        <v>192</v>
      </c>
      <c r="K92" s="432"/>
      <c r="L92" s="431" t="s">
        <v>102</v>
      </c>
      <c r="M92" s="432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3"/>
    </row>
    <row r="93" spans="1:50" x14ac:dyDescent="0.25">
      <c r="C93" s="287" t="s">
        <v>16</v>
      </c>
      <c r="D93" s="242" t="s">
        <v>17</v>
      </c>
      <c r="E93" s="241" t="s">
        <v>18</v>
      </c>
      <c r="F93" s="242" t="s">
        <v>17</v>
      </c>
      <c r="G93" s="241" t="s">
        <v>18</v>
      </c>
      <c r="H93" s="242" t="s">
        <v>17</v>
      </c>
      <c r="I93" s="323" t="s">
        <v>18</v>
      </c>
      <c r="J93" s="242" t="s">
        <v>17</v>
      </c>
      <c r="K93" s="323" t="s">
        <v>18</v>
      </c>
      <c r="L93" s="242" t="s">
        <v>17</v>
      </c>
      <c r="M93" s="323" t="s">
        <v>18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3"/>
    </row>
    <row r="94" spans="1:50" x14ac:dyDescent="0.25">
      <c r="C94" s="239">
        <v>1</v>
      </c>
      <c r="D94" s="243">
        <f>AO23</f>
        <v>-925.23586683336555</v>
      </c>
      <c r="E94" s="244">
        <f>AP23</f>
        <v>143.1776494371527</v>
      </c>
      <c r="F94" s="243">
        <f>AW23</f>
        <v>-929.3028104433007</v>
      </c>
      <c r="G94" s="244">
        <f>AX23</f>
        <v>193.01197465254623</v>
      </c>
      <c r="H94" s="243">
        <f>AO56</f>
        <v>-925.23586683336555</v>
      </c>
      <c r="I94" s="244">
        <f>AP56</f>
        <v>-106.67005731762117</v>
      </c>
      <c r="J94" s="243">
        <f>AW56</f>
        <v>-929.3028104433007</v>
      </c>
      <c r="K94" s="244">
        <f>AX56</f>
        <v>-56.835732102227631</v>
      </c>
      <c r="L94" s="243">
        <f t="shared" ref="L94:L121" si="121">J23</f>
        <v>-682.02064107814454</v>
      </c>
      <c r="M94" s="244">
        <f t="shared" ref="M94:M121" si="122">K23</f>
        <v>76.475258028294093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3"/>
    </row>
    <row r="95" spans="1:50" x14ac:dyDescent="0.25">
      <c r="C95" s="239">
        <v>2</v>
      </c>
      <c r="D95" s="243">
        <f t="shared" ref="D95:D121" si="123">AO24</f>
        <v>-919.13545141846294</v>
      </c>
      <c r="E95" s="244">
        <f t="shared" ref="E95:E121" si="124">AP24</f>
        <v>68.42616161406238</v>
      </c>
      <c r="F95" s="243">
        <f t="shared" ref="F95:F121" si="125">AW24</f>
        <v>-923.20239502839809</v>
      </c>
      <c r="G95" s="244">
        <f t="shared" ref="G95:G121" si="126">AX24</f>
        <v>118.26048682945591</v>
      </c>
      <c r="H95" s="243">
        <f t="shared" ref="H95:I95" si="127">AO57</f>
        <v>-919.13545141846294</v>
      </c>
      <c r="I95" s="244">
        <f t="shared" si="127"/>
        <v>-181.4215451407116</v>
      </c>
      <c r="J95" s="243">
        <f t="shared" ref="J95:K95" si="128">AW57</f>
        <v>-923.20239502839809</v>
      </c>
      <c r="K95" s="244">
        <f t="shared" si="128"/>
        <v>-131.58721992531807</v>
      </c>
      <c r="L95" s="243">
        <f t="shared" si="121"/>
        <v>-679.03060785555317</v>
      </c>
      <c r="M95" s="244">
        <f t="shared" si="122"/>
        <v>1.5348837209302324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3"/>
    </row>
    <row r="96" spans="1:50" x14ac:dyDescent="0.25">
      <c r="C96" s="239">
        <v>3</v>
      </c>
      <c r="D96" s="243">
        <f t="shared" si="123"/>
        <v>-1179.2706290428173</v>
      </c>
      <c r="E96" s="244">
        <f t="shared" si="124"/>
        <v>47.19671597020124</v>
      </c>
      <c r="F96" s="243">
        <f t="shared" si="125"/>
        <v>-1183.3375726527524</v>
      </c>
      <c r="G96" s="244">
        <f t="shared" si="126"/>
        <v>97.031041185594773</v>
      </c>
      <c r="H96" s="243">
        <f t="shared" ref="H96:I96" si="129">AO58</f>
        <v>-1179.2706290428173</v>
      </c>
      <c r="I96" s="244">
        <f t="shared" si="129"/>
        <v>-202.65099078457274</v>
      </c>
      <c r="J96" s="243">
        <f t="shared" ref="J96:K96" si="130">AW58</f>
        <v>-1183.3375726527524</v>
      </c>
      <c r="K96" s="244">
        <f t="shared" si="130"/>
        <v>-152.81666556917921</v>
      </c>
      <c r="L96" s="243">
        <f t="shared" si="121"/>
        <v>-939.8231104451794</v>
      </c>
      <c r="M96" s="244">
        <f t="shared" si="122"/>
        <v>-8.8704318936877069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3"/>
    </row>
    <row r="97" spans="3:43" x14ac:dyDescent="0.25">
      <c r="C97" s="239">
        <v>4</v>
      </c>
      <c r="D97" s="243">
        <f t="shared" si="123"/>
        <v>-1191.6341376170201</v>
      </c>
      <c r="E97" s="244">
        <f t="shared" si="124"/>
        <v>198.69306462499748</v>
      </c>
      <c r="F97" s="243">
        <f t="shared" si="125"/>
        <v>-1195.7010812269552</v>
      </c>
      <c r="G97" s="244">
        <f t="shared" si="126"/>
        <v>248.52738984039101</v>
      </c>
      <c r="H97" s="243">
        <f t="shared" ref="H97:I97" si="131">AO59</f>
        <v>-1191.6341376170201</v>
      </c>
      <c r="I97" s="244">
        <f t="shared" si="131"/>
        <v>-51.154642129776448</v>
      </c>
      <c r="J97" s="243">
        <f t="shared" ref="J97:K97" si="132">AW59</f>
        <v>-1195.7010812269552</v>
      </c>
      <c r="K97" s="244">
        <f t="shared" si="132"/>
        <v>-1.3203169143829072</v>
      </c>
      <c r="L97" s="243">
        <f t="shared" si="121"/>
        <v>-945.88291110963121</v>
      </c>
      <c r="M97" s="244">
        <f t="shared" si="122"/>
        <v>143.0087267025697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3"/>
    </row>
    <row r="98" spans="3:43" x14ac:dyDescent="0.25">
      <c r="C98" s="239">
        <v>5</v>
      </c>
      <c r="D98" s="243">
        <f t="shared" si="123"/>
        <v>-1470.7063588232238</v>
      </c>
      <c r="E98" s="244">
        <f t="shared" si="124"/>
        <v>175.91818040936107</v>
      </c>
      <c r="F98" s="243">
        <f t="shared" si="125"/>
        <v>-1474.773302433159</v>
      </c>
      <c r="G98" s="244">
        <f t="shared" si="126"/>
        <v>225.7525056247546</v>
      </c>
      <c r="H98" s="243">
        <f t="shared" ref="H98:I98" si="133">AO60</f>
        <v>-1470.7063588232238</v>
      </c>
      <c r="I98" s="244">
        <f t="shared" si="133"/>
        <v>-73.92952634541291</v>
      </c>
      <c r="J98" s="243">
        <f t="shared" ref="J98:K98" si="134">AW60</f>
        <v>-1474.773302433159</v>
      </c>
      <c r="K98" s="244">
        <f t="shared" si="134"/>
        <v>-24.095201130019369</v>
      </c>
      <c r="L98" s="243">
        <f t="shared" si="121"/>
        <v>-1225.6603085237896</v>
      </c>
      <c r="M98" s="244">
        <f t="shared" si="122"/>
        <v>131.84593600489529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3"/>
    </row>
    <row r="99" spans="3:43" x14ac:dyDescent="0.25">
      <c r="C99" s="239">
        <v>6</v>
      </c>
      <c r="D99" s="243">
        <f t="shared" si="123"/>
        <v>-1715.6426571483837</v>
      </c>
      <c r="E99" s="244">
        <f t="shared" si="124"/>
        <v>349.57073513507856</v>
      </c>
      <c r="F99" s="243">
        <f t="shared" si="125"/>
        <v>-1719.7096007583189</v>
      </c>
      <c r="G99" s="244">
        <f t="shared" si="126"/>
        <v>399.40506035047213</v>
      </c>
      <c r="H99" s="243">
        <f t="shared" ref="H99:I99" si="135">AO61</f>
        <v>-1715.6426571483837</v>
      </c>
      <c r="I99" s="244">
        <f t="shared" si="135"/>
        <v>99.72302838030464</v>
      </c>
      <c r="J99" s="243">
        <f t="shared" ref="J99:K99" si="136">AW61</f>
        <v>-1719.7096007583189</v>
      </c>
      <c r="K99" s="244">
        <f t="shared" si="136"/>
        <v>149.55735359569817</v>
      </c>
      <c r="L99" s="243">
        <f t="shared" si="121"/>
        <v>-1463.171808559174</v>
      </c>
      <c r="M99" s="244">
        <f t="shared" si="122"/>
        <v>315.52306400656477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3"/>
    </row>
    <row r="100" spans="3:43" x14ac:dyDescent="0.25">
      <c r="C100" s="239">
        <v>7</v>
      </c>
      <c r="D100" s="243">
        <f t="shared" si="123"/>
        <v>-1778.6802831023779</v>
      </c>
      <c r="E100" s="244">
        <f t="shared" si="124"/>
        <v>1122.0027759736786</v>
      </c>
      <c r="F100" s="243">
        <f t="shared" si="125"/>
        <v>-1782.747226712313</v>
      </c>
      <c r="G100" s="244">
        <f t="shared" si="126"/>
        <v>1171.8371011890722</v>
      </c>
      <c r="H100" s="243">
        <f t="shared" ref="H100:I100" si="137">AO62</f>
        <v>-1778.6802831023779</v>
      </c>
      <c r="I100" s="244">
        <f t="shared" si="137"/>
        <v>872.1550692189046</v>
      </c>
      <c r="J100" s="243">
        <f t="shared" ref="J100:K100" si="138">AW62</f>
        <v>-1782.747226712313</v>
      </c>
      <c r="K100" s="244">
        <f t="shared" si="138"/>
        <v>921.98939443429811</v>
      </c>
      <c r="L100" s="243">
        <f t="shared" si="121"/>
        <v>-1494.0688185259514</v>
      </c>
      <c r="M100" s="244">
        <f t="shared" si="122"/>
        <v>1089.9069318493246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3"/>
    </row>
    <row r="101" spans="3:43" x14ac:dyDescent="0.25">
      <c r="C101" s="239">
        <v>8</v>
      </c>
      <c r="D101" s="243">
        <f t="shared" si="123"/>
        <v>-1813.5643107531534</v>
      </c>
      <c r="E101" s="244">
        <f t="shared" si="124"/>
        <v>1119.1559154467236</v>
      </c>
      <c r="F101" s="243">
        <f t="shared" si="125"/>
        <v>-1817.6312543630886</v>
      </c>
      <c r="G101" s="244">
        <f t="shared" si="126"/>
        <v>1168.9902406621172</v>
      </c>
      <c r="H101" s="243">
        <f t="shared" ref="H101:I101" si="139">AO63</f>
        <v>-1813.5643107531534</v>
      </c>
      <c r="I101" s="244">
        <f t="shared" si="139"/>
        <v>869.30820869194963</v>
      </c>
      <c r="J101" s="243">
        <f t="shared" ref="J101:K101" si="140">AW63</f>
        <v>-1817.6312543630886</v>
      </c>
      <c r="K101" s="244">
        <f t="shared" si="140"/>
        <v>919.14253390734314</v>
      </c>
      <c r="L101" s="243">
        <f t="shared" si="121"/>
        <v>-1529.0409932027212</v>
      </c>
      <c r="M101" s="244">
        <f t="shared" si="122"/>
        <v>1088.5115830121151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3"/>
    </row>
    <row r="102" spans="3:43" x14ac:dyDescent="0.25">
      <c r="C102" s="239">
        <v>9</v>
      </c>
      <c r="D102" s="243">
        <f t="shared" si="123"/>
        <v>-2013.6579363619605</v>
      </c>
      <c r="E102" s="244">
        <f t="shared" si="124"/>
        <v>3571.0047160440859</v>
      </c>
      <c r="F102" s="243">
        <f t="shared" si="125"/>
        <v>-2017.7248799718957</v>
      </c>
      <c r="G102" s="244">
        <f t="shared" si="126"/>
        <v>3620.8390412594795</v>
      </c>
      <c r="H102" s="243">
        <f t="shared" ref="H102:I102" si="141">AO64</f>
        <v>-2013.6579363619605</v>
      </c>
      <c r="I102" s="244">
        <f t="shared" si="141"/>
        <v>3321.1570092893121</v>
      </c>
      <c r="J102" s="243">
        <f t="shared" ref="J102:K102" si="142">AW64</f>
        <v>-2017.7248799718957</v>
      </c>
      <c r="K102" s="244">
        <f t="shared" si="142"/>
        <v>3370.9913345047057</v>
      </c>
      <c r="L102" s="243">
        <f t="shared" si="121"/>
        <v>-1627.1140829037179</v>
      </c>
      <c r="M102" s="244">
        <f t="shared" si="122"/>
        <v>3546.5558602936499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3"/>
    </row>
    <row r="103" spans="3:43" x14ac:dyDescent="0.25">
      <c r="C103" s="239">
        <v>10</v>
      </c>
      <c r="D103" s="243">
        <f t="shared" si="123"/>
        <v>-1806.7664689083745</v>
      </c>
      <c r="E103" s="244">
        <f t="shared" si="124"/>
        <v>3925.0060164582251</v>
      </c>
      <c r="F103" s="243">
        <f t="shared" si="125"/>
        <v>-1810.8334125183096</v>
      </c>
      <c r="G103" s="244">
        <f t="shared" si="126"/>
        <v>3974.8403416736187</v>
      </c>
      <c r="H103" s="243">
        <f t="shared" ref="H103:I103" si="143">AO65</f>
        <v>-1806.7664689083745</v>
      </c>
      <c r="I103" s="244">
        <f t="shared" si="143"/>
        <v>3675.1583097034513</v>
      </c>
      <c r="J103" s="243">
        <f t="shared" ref="J103:K103" si="144">AW65</f>
        <v>-1810.8334125183096</v>
      </c>
      <c r="K103" s="244">
        <f t="shared" si="144"/>
        <v>3724.9926349188449</v>
      </c>
      <c r="L103" s="243">
        <f t="shared" si="121"/>
        <v>-1405.696258911187</v>
      </c>
      <c r="M103" s="244">
        <f t="shared" si="122"/>
        <v>3891.6575079547592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3"/>
    </row>
    <row r="104" spans="3:43" x14ac:dyDescent="0.25">
      <c r="C104" s="239">
        <v>11</v>
      </c>
      <c r="D104" s="243">
        <f t="shared" si="123"/>
        <v>-1632.4654857640571</v>
      </c>
      <c r="E104" s="244">
        <f t="shared" si="124"/>
        <v>4063.6428343491607</v>
      </c>
      <c r="F104" s="243">
        <f t="shared" si="125"/>
        <v>-1636.5324293739923</v>
      </c>
      <c r="G104" s="244">
        <f t="shared" si="126"/>
        <v>4113.4771595645543</v>
      </c>
      <c r="H104" s="243">
        <f t="shared" ref="H104:I104" si="145">AO66</f>
        <v>-1632.4654857640571</v>
      </c>
      <c r="I104" s="244">
        <f t="shared" si="145"/>
        <v>3813.7951275943869</v>
      </c>
      <c r="J104" s="243">
        <f t="shared" ref="J104:K104" si="146">AW66</f>
        <v>-1636.5324293739923</v>
      </c>
      <c r="K104" s="244">
        <f t="shared" si="146"/>
        <v>3863.6294528097806</v>
      </c>
      <c r="L104" s="243">
        <f t="shared" si="121"/>
        <v>-1225.7868572143739</v>
      </c>
      <c r="M104" s="244">
        <f t="shared" si="122"/>
        <v>4022.9343420919927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3"/>
    </row>
    <row r="105" spans="3:43" x14ac:dyDescent="0.25">
      <c r="C105" s="239">
        <v>12</v>
      </c>
      <c r="D105" s="243">
        <f t="shared" si="123"/>
        <v>-1340.6769327799623</v>
      </c>
      <c r="E105" s="244">
        <f t="shared" si="124"/>
        <v>4237.9541660159448</v>
      </c>
      <c r="F105" s="243">
        <f t="shared" si="125"/>
        <v>-1344.7438763898974</v>
      </c>
      <c r="G105" s="244">
        <f t="shared" si="126"/>
        <v>4287.7884912313384</v>
      </c>
      <c r="H105" s="243">
        <f t="shared" ref="H105:I105" si="147">AO67</f>
        <v>-1340.6769327799623</v>
      </c>
      <c r="I105" s="244">
        <f t="shared" si="147"/>
        <v>3988.106459261171</v>
      </c>
      <c r="J105" s="243">
        <f t="shared" ref="J105:K105" si="148">AW67</f>
        <v>-1344.7438763898974</v>
      </c>
      <c r="K105" s="244">
        <f t="shared" si="148"/>
        <v>4037.9407844765647</v>
      </c>
      <c r="L105" s="243">
        <f t="shared" si="121"/>
        <v>-927.00940147627693</v>
      </c>
      <c r="M105" s="244">
        <f t="shared" si="122"/>
        <v>4184.9745591452584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3"/>
    </row>
    <row r="106" spans="3:43" x14ac:dyDescent="0.25">
      <c r="C106" s="239">
        <v>13</v>
      </c>
      <c r="D106" s="243">
        <f t="shared" si="123"/>
        <v>-1043.1946587419575</v>
      </c>
      <c r="E106" s="244">
        <f t="shared" si="124"/>
        <v>4342.4974423811791</v>
      </c>
      <c r="F106" s="243">
        <f t="shared" si="125"/>
        <v>-1047.2616023518926</v>
      </c>
      <c r="G106" s="244">
        <f t="shared" si="126"/>
        <v>4392.3317675965727</v>
      </c>
      <c r="H106" s="243">
        <f t="shared" ref="H106:I106" si="149">AO68</f>
        <v>-1043.1946587419575</v>
      </c>
      <c r="I106" s="244">
        <f t="shared" si="149"/>
        <v>4092.6497356264049</v>
      </c>
      <c r="J106" s="243">
        <f t="shared" ref="J106:K106" si="150">AW68</f>
        <v>-1047.2616023518926</v>
      </c>
      <c r="K106" s="244">
        <f t="shared" si="150"/>
        <v>4142.4840608417981</v>
      </c>
      <c r="L106" s="243">
        <f t="shared" si="121"/>
        <v>-625.44124806376135</v>
      </c>
      <c r="M106" s="244">
        <f t="shared" si="122"/>
        <v>4277.0704268449854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3"/>
    </row>
    <row r="107" spans="3:43" x14ac:dyDescent="0.25">
      <c r="C107" s="239">
        <v>14</v>
      </c>
      <c r="D107" s="243">
        <f t="shared" si="123"/>
        <v>-589.70229928187632</v>
      </c>
      <c r="E107" s="244">
        <f t="shared" si="124"/>
        <v>4379.5066292315896</v>
      </c>
      <c r="F107" s="243">
        <f t="shared" si="125"/>
        <v>-593.76924289181147</v>
      </c>
      <c r="G107" s="244">
        <f t="shared" si="126"/>
        <v>4429.3409544469832</v>
      </c>
      <c r="H107" s="243">
        <f t="shared" ref="H107:I107" si="151">AO69</f>
        <v>-589.70229928187632</v>
      </c>
      <c r="I107" s="244">
        <f t="shared" si="151"/>
        <v>4129.658922476815</v>
      </c>
      <c r="J107" s="243">
        <f t="shared" ref="J107:K107" si="152">AW69</f>
        <v>-593.76924289181147</v>
      </c>
      <c r="K107" s="244">
        <f t="shared" si="152"/>
        <v>4179.4932476922086</v>
      </c>
      <c r="L107" s="243">
        <f t="shared" si="121"/>
        <v>-170.80297726575398</v>
      </c>
      <c r="M107" s="244">
        <f t="shared" si="122"/>
        <v>4295.2099617287067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3"/>
    </row>
    <row r="108" spans="3:43" x14ac:dyDescent="0.25">
      <c r="C108" s="239">
        <v>14</v>
      </c>
      <c r="D108" s="243">
        <f t="shared" si="123"/>
        <v>246.44826545737234</v>
      </c>
      <c r="E108" s="244">
        <f t="shared" si="124"/>
        <v>4401.343923816682</v>
      </c>
      <c r="F108" s="243">
        <f t="shared" si="125"/>
        <v>246.53193913348196</v>
      </c>
      <c r="G108" s="244">
        <f t="shared" si="126"/>
        <v>4451.3438538037926</v>
      </c>
      <c r="H108" s="243">
        <f t="shared" ref="H108:I108" si="153">AO70</f>
        <v>246.44826545737234</v>
      </c>
      <c r="I108" s="244">
        <f t="shared" si="153"/>
        <v>4151.4962170619074</v>
      </c>
      <c r="J108" s="243">
        <f t="shared" ref="J108:K108" si="154">AW70</f>
        <v>246.53193913348196</v>
      </c>
      <c r="K108" s="244">
        <f t="shared" si="154"/>
        <v>4201.496147049018</v>
      </c>
      <c r="L108" s="243">
        <f t="shared" si="121"/>
        <v>-170.80297726575398</v>
      </c>
      <c r="M108" s="244">
        <f t="shared" si="122"/>
        <v>4295.2099617287067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</row>
    <row r="109" spans="3:43" x14ac:dyDescent="0.25">
      <c r="C109" s="239">
        <v>15</v>
      </c>
      <c r="D109" s="243">
        <f t="shared" si="123"/>
        <v>246.44826545737234</v>
      </c>
      <c r="E109" s="244">
        <f t="shared" si="124"/>
        <v>4401.343923816682</v>
      </c>
      <c r="F109" s="243">
        <f t="shared" si="125"/>
        <v>246.53193913348196</v>
      </c>
      <c r="G109" s="244">
        <f t="shared" si="126"/>
        <v>4451.3438538037926</v>
      </c>
      <c r="H109" s="243">
        <f t="shared" ref="H109:I109" si="155">AO71</f>
        <v>246.44826545737234</v>
      </c>
      <c r="I109" s="244">
        <f t="shared" si="155"/>
        <v>4151.4962170619074</v>
      </c>
      <c r="J109" s="243">
        <f t="shared" ref="J109:K109" si="156">AW71</f>
        <v>246.53193913348196</v>
      </c>
      <c r="K109" s="244">
        <f t="shared" si="156"/>
        <v>4201.496147049018</v>
      </c>
      <c r="L109" s="243">
        <f t="shared" si="121"/>
        <v>-170.80297726575398</v>
      </c>
      <c r="M109" s="244">
        <f t="shared" si="122"/>
        <v>4295.2099617287067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</row>
    <row r="110" spans="3:43" x14ac:dyDescent="0.25">
      <c r="C110" s="239">
        <v>16</v>
      </c>
      <c r="D110" s="243">
        <f t="shared" si="123"/>
        <v>701.44762834007565</v>
      </c>
      <c r="E110" s="244">
        <f t="shared" si="124"/>
        <v>4400.5824933640843</v>
      </c>
      <c r="F110" s="243">
        <f t="shared" si="125"/>
        <v>701.53130201618524</v>
      </c>
      <c r="G110" s="244">
        <f t="shared" si="126"/>
        <v>4450.5824233511948</v>
      </c>
      <c r="H110" s="243">
        <f t="shared" ref="H110:I110" si="157">AO72</f>
        <v>701.44762834007565</v>
      </c>
      <c r="I110" s="244">
        <f t="shared" si="157"/>
        <v>4150.7347866093105</v>
      </c>
      <c r="J110" s="243">
        <f t="shared" ref="J110:K110" si="158">AW72</f>
        <v>701.53130201618524</v>
      </c>
      <c r="K110" s="244">
        <f t="shared" si="158"/>
        <v>4200.7347165964211</v>
      </c>
      <c r="L110" s="243">
        <f t="shared" si="121"/>
        <v>283.83529353225344</v>
      </c>
      <c r="M110" s="244">
        <f t="shared" si="122"/>
        <v>4313.3494966124272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</row>
    <row r="111" spans="3:43" x14ac:dyDescent="0.25">
      <c r="C111" s="239">
        <v>17</v>
      </c>
      <c r="D111" s="243">
        <f t="shared" si="123"/>
        <v>1006.3133233796727</v>
      </c>
      <c r="E111" s="244">
        <f t="shared" si="124"/>
        <v>4320.0721959604389</v>
      </c>
      <c r="F111" s="243">
        <f t="shared" si="125"/>
        <v>1006.3969970557823</v>
      </c>
      <c r="G111" s="244">
        <f t="shared" si="126"/>
        <v>4370.0721259475495</v>
      </c>
      <c r="H111" s="243">
        <f t="shared" ref="H111:I111" si="159">AO73</f>
        <v>1006.3133233796727</v>
      </c>
      <c r="I111" s="244">
        <f t="shared" si="159"/>
        <v>4070.2244892056656</v>
      </c>
      <c r="J111" s="243">
        <f t="shared" ref="J111:K111" si="160">AW73</f>
        <v>1006.3969970557823</v>
      </c>
      <c r="K111" s="244">
        <f t="shared" si="160"/>
        <v>4120.2244191927757</v>
      </c>
      <c r="L111" s="243">
        <f t="shared" si="121"/>
        <v>591.78218448629718</v>
      </c>
      <c r="M111" s="244">
        <f t="shared" si="122"/>
        <v>4245.5725657897765</v>
      </c>
    </row>
    <row r="112" spans="3:43" x14ac:dyDescent="0.25">
      <c r="C112" s="239">
        <v>18</v>
      </c>
      <c r="D112" s="243">
        <f t="shared" si="123"/>
        <v>1311.0618752727164</v>
      </c>
      <c r="E112" s="244">
        <f t="shared" si="124"/>
        <v>4169.5619965748392</v>
      </c>
      <c r="F112" s="243">
        <f t="shared" si="125"/>
        <v>1311.145548948826</v>
      </c>
      <c r="G112" s="244">
        <f t="shared" si="126"/>
        <v>4219.5619265619498</v>
      </c>
      <c r="H112" s="243">
        <f t="shared" ref="H112:I112" si="161">AO74</f>
        <v>1311.0618752727164</v>
      </c>
      <c r="I112" s="244">
        <f t="shared" si="161"/>
        <v>3919.7142898200659</v>
      </c>
      <c r="J112" s="243">
        <f t="shared" ref="J112:K112" si="162">AW74</f>
        <v>1311.145548948826</v>
      </c>
      <c r="K112" s="244">
        <f t="shared" si="162"/>
        <v>3969.7142198071761</v>
      </c>
      <c r="L112" s="243">
        <f t="shared" si="121"/>
        <v>902.51977311475957</v>
      </c>
      <c r="M112" s="244">
        <f t="shared" si="122"/>
        <v>4107.8512856135876</v>
      </c>
    </row>
    <row r="113" spans="3:13" x14ac:dyDescent="0.25">
      <c r="C113" s="239">
        <v>19</v>
      </c>
      <c r="D113" s="243">
        <f t="shared" si="123"/>
        <v>1495.8541055082726</v>
      </c>
      <c r="E113" s="244">
        <f t="shared" si="124"/>
        <v>4045.2525776052012</v>
      </c>
      <c r="F113" s="243">
        <f t="shared" si="125"/>
        <v>1495.9377791843822</v>
      </c>
      <c r="G113" s="244">
        <f t="shared" si="126"/>
        <v>4095.2525075923113</v>
      </c>
      <c r="H113" s="243">
        <f t="shared" ref="H113:I113" si="163">AO75</f>
        <v>1495.8541055082726</v>
      </c>
      <c r="I113" s="244">
        <f t="shared" si="163"/>
        <v>3795.4048708504274</v>
      </c>
      <c r="J113" s="243">
        <f t="shared" ref="J113:K113" si="164">AW75</f>
        <v>1495.9377791843822</v>
      </c>
      <c r="K113" s="244">
        <f t="shared" si="164"/>
        <v>3845.4048008375376</v>
      </c>
      <c r="L113" s="243">
        <f t="shared" si="121"/>
        <v>1092.3162180009415</v>
      </c>
      <c r="M113" s="244">
        <f t="shared" si="122"/>
        <v>3991.3252820411381</v>
      </c>
    </row>
    <row r="114" spans="3:13" x14ac:dyDescent="0.25">
      <c r="C114" s="239">
        <v>20</v>
      </c>
      <c r="D114" s="243">
        <f t="shared" si="123"/>
        <v>1730.2914893442339</v>
      </c>
      <c r="E114" s="244">
        <f t="shared" si="124"/>
        <v>3708.8597818141052</v>
      </c>
      <c r="F114" s="243">
        <f t="shared" si="125"/>
        <v>1730.3751630203435</v>
      </c>
      <c r="G114" s="244">
        <f t="shared" si="126"/>
        <v>3758.8597118012153</v>
      </c>
      <c r="H114" s="243">
        <f t="shared" ref="H114:I114" si="165">AO76</f>
        <v>1730.2914893442339</v>
      </c>
      <c r="I114" s="244">
        <f t="shared" si="165"/>
        <v>3459.0120750593314</v>
      </c>
      <c r="J114" s="243">
        <f t="shared" ref="J114:K114" si="166">AW76</f>
        <v>1730.3751630203435</v>
      </c>
      <c r="K114" s="244">
        <f t="shared" si="166"/>
        <v>3509.0120050464416</v>
      </c>
      <c r="L114" s="243">
        <f t="shared" si="121"/>
        <v>1340.5247396678908</v>
      </c>
      <c r="M114" s="244">
        <f t="shared" si="122"/>
        <v>3664.9611759082677</v>
      </c>
    </row>
    <row r="115" spans="3:13" x14ac:dyDescent="0.25">
      <c r="C115" s="239">
        <v>21</v>
      </c>
      <c r="D115" s="243">
        <f t="shared" si="123"/>
        <v>1726.1747444796415</v>
      </c>
      <c r="E115" s="244">
        <f t="shared" si="124"/>
        <v>1248.8632264482812</v>
      </c>
      <c r="F115" s="243">
        <f t="shared" si="125"/>
        <v>1726.2584181557511</v>
      </c>
      <c r="G115" s="244">
        <f t="shared" si="126"/>
        <v>1298.8631564353914</v>
      </c>
      <c r="H115" s="243">
        <f t="shared" ref="H115:I115" si="167">AO77</f>
        <v>1726.1747444796415</v>
      </c>
      <c r="I115" s="244">
        <f t="shared" si="167"/>
        <v>999.01551969350726</v>
      </c>
      <c r="J115" s="243">
        <f t="shared" ref="J115:K115" si="168">AW77</f>
        <v>1726.2584181557511</v>
      </c>
      <c r="K115" s="244">
        <f t="shared" si="168"/>
        <v>1049.0154496806176</v>
      </c>
      <c r="L115" s="243">
        <f t="shared" si="121"/>
        <v>1438.5978293688875</v>
      </c>
      <c r="M115" s="244">
        <f t="shared" si="122"/>
        <v>1206.9168986267332</v>
      </c>
    </row>
    <row r="116" spans="3:13" x14ac:dyDescent="0.25">
      <c r="C116" s="239">
        <v>22</v>
      </c>
      <c r="D116" s="243">
        <f t="shared" si="123"/>
        <v>1691.1747934886639</v>
      </c>
      <c r="E116" s="244">
        <f t="shared" si="124"/>
        <v>1248.9217980215578</v>
      </c>
      <c r="F116" s="243">
        <f t="shared" si="125"/>
        <v>1691.2584671647735</v>
      </c>
      <c r="G116" s="244">
        <f t="shared" si="126"/>
        <v>1298.9217280086682</v>
      </c>
      <c r="H116" s="243">
        <f t="shared" ref="H116:I116" si="169">AO78</f>
        <v>1691.1747934886639</v>
      </c>
      <c r="I116" s="244">
        <f t="shared" si="169"/>
        <v>999.07409126678385</v>
      </c>
      <c r="J116" s="243">
        <f t="shared" ref="J116:K116" si="170">AW78</f>
        <v>1691.2584671647735</v>
      </c>
      <c r="K116" s="244">
        <f t="shared" si="170"/>
        <v>1049.074021253894</v>
      </c>
      <c r="L116" s="243">
        <f t="shared" si="121"/>
        <v>1403.6256546921175</v>
      </c>
      <c r="M116" s="244">
        <f t="shared" si="122"/>
        <v>1205.5215497895238</v>
      </c>
    </row>
    <row r="117" spans="3:13" x14ac:dyDescent="0.25">
      <c r="C117" s="239">
        <v>23</v>
      </c>
      <c r="D117" s="243">
        <f t="shared" si="123"/>
        <v>1689.8778515089648</v>
      </c>
      <c r="E117" s="244">
        <f t="shared" si="124"/>
        <v>473.92288322134914</v>
      </c>
      <c r="F117" s="243">
        <f t="shared" si="125"/>
        <v>1689.9615251850744</v>
      </c>
      <c r="G117" s="244">
        <f t="shared" si="126"/>
        <v>523.92281320845939</v>
      </c>
      <c r="H117" s="243">
        <f t="shared" ref="H117:I117" si="171">AO79</f>
        <v>1689.8778515089648</v>
      </c>
      <c r="I117" s="244">
        <f t="shared" si="171"/>
        <v>224.07517646657516</v>
      </c>
      <c r="J117" s="243">
        <f t="shared" ref="J117:K117" si="172">AW79</f>
        <v>1689.9615251850744</v>
      </c>
      <c r="K117" s="244">
        <f t="shared" si="172"/>
        <v>274.07510645368541</v>
      </c>
      <c r="L117" s="243">
        <f t="shared" si="121"/>
        <v>1434.5226646588949</v>
      </c>
      <c r="M117" s="244">
        <f t="shared" si="122"/>
        <v>431.13768194676413</v>
      </c>
    </row>
    <row r="118" spans="3:13" x14ac:dyDescent="0.25">
      <c r="C118" s="239">
        <v>24</v>
      </c>
      <c r="D118" s="243">
        <f t="shared" si="123"/>
        <v>1459.5551931784751</v>
      </c>
      <c r="E118" s="244">
        <f t="shared" si="124"/>
        <v>281.30805238120769</v>
      </c>
      <c r="F118" s="243">
        <f t="shared" si="125"/>
        <v>1459.6388668545846</v>
      </c>
      <c r="G118" s="244">
        <f t="shared" si="126"/>
        <v>331.30798236831794</v>
      </c>
      <c r="H118" s="243">
        <f t="shared" ref="H118:I118" si="173">AO80</f>
        <v>1459.5551931784751</v>
      </c>
      <c r="I118" s="244">
        <f t="shared" si="173"/>
        <v>31.460345626433764</v>
      </c>
      <c r="J118" s="243">
        <f t="shared" ref="J118:K118" si="174">AW80</f>
        <v>1459.6388668545846</v>
      </c>
      <c r="K118" s="244">
        <f t="shared" si="174"/>
        <v>81.460275613544013</v>
      </c>
      <c r="L118" s="243">
        <f t="shared" si="121"/>
        <v>1212.3998689424477</v>
      </c>
      <c r="M118" s="244">
        <f t="shared" si="122"/>
        <v>229.12168351320094</v>
      </c>
    </row>
    <row r="119" spans="3:13" x14ac:dyDescent="0.25">
      <c r="C119" s="239">
        <v>25</v>
      </c>
      <c r="D119" s="243">
        <f t="shared" si="123"/>
        <v>1179.5555852506575</v>
      </c>
      <c r="E119" s="244">
        <f t="shared" si="124"/>
        <v>281.77662496742147</v>
      </c>
      <c r="F119" s="243">
        <f t="shared" si="125"/>
        <v>1179.6392589267671</v>
      </c>
      <c r="G119" s="244">
        <f t="shared" si="126"/>
        <v>331.77655495453172</v>
      </c>
      <c r="H119" s="243">
        <f t="shared" ref="H119:I119" si="175">AO81</f>
        <v>1179.5555852506575</v>
      </c>
      <c r="I119" s="244">
        <f t="shared" si="175"/>
        <v>31.928918212647545</v>
      </c>
      <c r="J119" s="243">
        <f t="shared" ref="J119:K119" si="176">AW81</f>
        <v>1179.6392589267671</v>
      </c>
      <c r="K119" s="244">
        <f t="shared" si="176"/>
        <v>81.928848199757795</v>
      </c>
      <c r="L119" s="243">
        <f t="shared" si="121"/>
        <v>932.62247152828922</v>
      </c>
      <c r="M119" s="244">
        <f t="shared" si="122"/>
        <v>217.9588928155265</v>
      </c>
    </row>
    <row r="120" spans="3:13" x14ac:dyDescent="0.25">
      <c r="C120" s="239">
        <v>26</v>
      </c>
      <c r="D120" s="243">
        <f t="shared" si="123"/>
        <v>1179.3012172752842</v>
      </c>
      <c r="E120" s="244">
        <f t="shared" si="124"/>
        <v>129.77683780660641</v>
      </c>
      <c r="F120" s="243">
        <f t="shared" si="125"/>
        <v>1179.3848909513938</v>
      </c>
      <c r="G120" s="244">
        <f t="shared" si="126"/>
        <v>179.77676779371666</v>
      </c>
      <c r="H120" s="243">
        <f t="shared" ref="H120:I120" si="177">AO82</f>
        <v>1179.3012172752842</v>
      </c>
      <c r="I120" s="244">
        <f t="shared" si="177"/>
        <v>-120.07086894816757</v>
      </c>
      <c r="J120" s="243">
        <f t="shared" ref="J120:K120" si="178">AW82</f>
        <v>1179.3848909513938</v>
      </c>
      <c r="K120" s="244">
        <f t="shared" si="178"/>
        <v>-70.070938961057323</v>
      </c>
      <c r="L120" s="243">
        <f t="shared" si="121"/>
        <v>938.68227219274104</v>
      </c>
      <c r="M120" s="244">
        <f t="shared" si="122"/>
        <v>66.079734219269099</v>
      </c>
    </row>
    <row r="121" spans="3:13" x14ac:dyDescent="0.25">
      <c r="C121" s="239">
        <v>27</v>
      </c>
      <c r="D121" s="243">
        <f t="shared" si="123"/>
        <v>918.30158274256883</v>
      </c>
      <c r="E121" s="244">
        <f t="shared" si="124"/>
        <v>130.21361439589862</v>
      </c>
      <c r="F121" s="243">
        <f t="shared" si="125"/>
        <v>918.38525641867841</v>
      </c>
      <c r="G121" s="244">
        <f t="shared" si="126"/>
        <v>180.21354438300887</v>
      </c>
      <c r="H121" s="243">
        <f t="shared" ref="H121:I121" si="179">AO83</f>
        <v>918.30158274256883</v>
      </c>
      <c r="I121" s="244">
        <f t="shared" si="179"/>
        <v>-119.63409235887525</v>
      </c>
      <c r="J121" s="243">
        <f t="shared" ref="J121:K121" si="180">AW83</f>
        <v>918.38525641867841</v>
      </c>
      <c r="K121" s="244">
        <f t="shared" si="180"/>
        <v>-69.634162371765001</v>
      </c>
      <c r="L121" s="243">
        <f t="shared" si="121"/>
        <v>677.88976960311493</v>
      </c>
      <c r="M121" s="244">
        <f t="shared" si="122"/>
        <v>55.674418604651159</v>
      </c>
    </row>
    <row r="122" spans="3:13" ht="12" thickBot="1" x14ac:dyDescent="0.3">
      <c r="C122" s="249">
        <v>28</v>
      </c>
      <c r="D122" s="245">
        <f t="shared" ref="D122:M122" si="181">D94</f>
        <v>-925.23586683336555</v>
      </c>
      <c r="E122" s="248">
        <f t="shared" si="181"/>
        <v>143.1776494371527</v>
      </c>
      <c r="F122" s="251">
        <f t="shared" si="181"/>
        <v>-929.3028104433007</v>
      </c>
      <c r="G122" s="252">
        <f t="shared" si="181"/>
        <v>193.01197465254623</v>
      </c>
      <c r="H122" s="243">
        <f>H94</f>
        <v>-925.23586683336555</v>
      </c>
      <c r="I122" s="244">
        <f>I94</f>
        <v>-106.67005731762117</v>
      </c>
      <c r="J122" s="243">
        <f>J94</f>
        <v>-929.3028104433007</v>
      </c>
      <c r="K122" s="244">
        <f>K94</f>
        <v>-56.835732102227631</v>
      </c>
      <c r="L122" s="245">
        <f>L94</f>
        <v>-682.02064107814454</v>
      </c>
      <c r="M122" s="252">
        <f t="shared" si="181"/>
        <v>76.475258028294093</v>
      </c>
    </row>
    <row r="123" spans="3:13" ht="12" thickBot="1" x14ac:dyDescent="0.3">
      <c r="C123" s="253"/>
      <c r="D123" s="250"/>
      <c r="E123" s="250"/>
      <c r="F123" s="247"/>
      <c r="G123" s="250"/>
      <c r="H123" s="250"/>
      <c r="I123" s="250"/>
    </row>
    <row r="124" spans="3:13" ht="12" thickBot="1" x14ac:dyDescent="0.3">
      <c r="C124" s="428" t="s">
        <v>151</v>
      </c>
      <c r="D124" s="429"/>
      <c r="E124" s="430"/>
      <c r="F124" s="173"/>
      <c r="G124" s="437" t="s">
        <v>73</v>
      </c>
      <c r="H124" s="438"/>
      <c r="I124" s="439"/>
    </row>
    <row r="125" spans="3:13" x14ac:dyDescent="0.25">
      <c r="C125" s="284" t="s">
        <v>16</v>
      </c>
      <c r="D125" s="254" t="s">
        <v>17</v>
      </c>
      <c r="E125" s="255" t="s">
        <v>18</v>
      </c>
      <c r="F125" s="173"/>
      <c r="G125" s="283" t="s">
        <v>16</v>
      </c>
      <c r="H125" s="254" t="s">
        <v>17</v>
      </c>
      <c r="I125" s="255" t="s">
        <v>18</v>
      </c>
    </row>
    <row r="126" spans="3:13" x14ac:dyDescent="0.25">
      <c r="C126" s="256" t="s">
        <v>39</v>
      </c>
      <c r="D126" s="243">
        <f>IF($D$11,$G$3/2,IF($D$12="Left",$G$3*COS($M$4)-$G$3/2,$G$3/2))</f>
        <v>716.35916174756176</v>
      </c>
      <c r="E126" s="244">
        <f>IF($D$11,0,IF($D$12="Left",$M$3,0))</f>
        <v>57.209302325581397</v>
      </c>
      <c r="F126" s="173"/>
      <c r="G126" s="239">
        <v>1</v>
      </c>
      <c r="H126" s="257">
        <f>IF($D$11,-(2060+$AC$22),IF($D$12="Left",-(2060+$AC$22+($D$8*I127)/$G$3),-(2060+$AC$22-($D$8*I127)/$G$3)))</f>
        <v>-2380.0033944809215</v>
      </c>
      <c r="I126" s="258">
        <v>0</v>
      </c>
    </row>
    <row r="127" spans="3:13" ht="12" thickBot="1" x14ac:dyDescent="0.3">
      <c r="C127" s="240" t="s">
        <v>40</v>
      </c>
      <c r="D127" s="245">
        <f>IF($D$11,-$G$3/2,IF($D$12="Left",-$G$3/2,-($G$3*COS($M$4)-$G$3/2)))</f>
        <v>-717.5</v>
      </c>
      <c r="E127" s="246">
        <f>IF($D$11,0,IF($D$12="Left",0,$M$3))</f>
        <v>0</v>
      </c>
      <c r="F127" s="173"/>
      <c r="G127" s="239">
        <v>2</v>
      </c>
      <c r="H127" s="257">
        <f>IF($D$11,-(2060+$AC$22),IF($D$12="Left",-(2060+$AC$22+($D$8*I127)/$G$3),-(2060+$AC$22-($D$8*I127)/$G$3)))</f>
        <v>-2380.0033944809215</v>
      </c>
      <c r="I127" s="258">
        <v>3800</v>
      </c>
    </row>
    <row r="128" spans="3:13" ht="12" thickBot="1" x14ac:dyDescent="0.3">
      <c r="C128" s="285"/>
      <c r="D128" s="285"/>
      <c r="E128" s="285"/>
      <c r="F128" s="173"/>
      <c r="G128" s="239">
        <v>3</v>
      </c>
      <c r="H128" s="257">
        <f>IF($D$11,-(1525+$AC$22),IF($D$12="Left",-(1525+$AC$22+($D$8*I128)/$G$3),-(1525+$AC$22-($D$8*I128)/$G$3)))</f>
        <v>-1884.390154062803</v>
      </c>
      <c r="I128" s="258">
        <f>4670+INPUT!$C$10*1.2</f>
        <v>4742</v>
      </c>
    </row>
    <row r="129" spans="3:20" ht="12" thickBot="1" x14ac:dyDescent="0.3">
      <c r="C129" s="428" t="s">
        <v>152</v>
      </c>
      <c r="D129" s="429"/>
      <c r="E129" s="430"/>
      <c r="F129" s="173"/>
      <c r="G129" s="239">
        <v>4</v>
      </c>
      <c r="H129" s="257">
        <f>IF($D$11,(1525+$AC$22),IF($D$12="Left",(1525+$AC$22-($D$8*I129)/$G$3),(1525+$AC$22+($D$8*I129)/$G$3)))</f>
        <v>1487.8466000558346</v>
      </c>
      <c r="I129" s="258">
        <f>4670+INPUT!$C$10*1.2</f>
        <v>4742</v>
      </c>
    </row>
    <row r="130" spans="3:20" x14ac:dyDescent="0.25">
      <c r="C130" s="286" t="s">
        <v>16</v>
      </c>
      <c r="D130" s="254" t="s">
        <v>17</v>
      </c>
      <c r="E130" s="255" t="s">
        <v>18</v>
      </c>
      <c r="F130" s="173"/>
      <c r="G130" s="239">
        <v>5</v>
      </c>
      <c r="H130" s="257">
        <f>IF($D$11,(2060+$AC$22),IF($D$12="Left",(2060+$AC$22-($D$8*I130)/$G$3),(2060+$AC$22+($D$8*I130)/$G$3)))</f>
        <v>2062.2333596377161</v>
      </c>
      <c r="I130" s="258">
        <v>3800</v>
      </c>
    </row>
    <row r="131" spans="3:20" ht="12" thickBot="1" x14ac:dyDescent="0.3">
      <c r="C131" s="239" t="s">
        <v>153</v>
      </c>
      <c r="D131" s="243">
        <f>(D126+D127)/2</f>
        <v>-0.57041912621912161</v>
      </c>
      <c r="E131" s="244">
        <f>(E126+E127)/2</f>
        <v>28.604651162790699</v>
      </c>
      <c r="F131" s="173"/>
      <c r="G131" s="240">
        <v>6</v>
      </c>
      <c r="H131" s="259">
        <f>IF($D$11,(2060+$AC$22),IF($D$12="Left",(2060+$AC$22-($D$8*I130)/$G$3),(2060+$AC$22+($D$8*I130)/$G$3)))</f>
        <v>2062.2333596377161</v>
      </c>
      <c r="I131" s="260">
        <v>0</v>
      </c>
    </row>
    <row r="132" spans="3:20" ht="12" thickBot="1" x14ac:dyDescent="0.3">
      <c r="C132" s="240" t="s">
        <v>154</v>
      </c>
      <c r="D132" s="259">
        <f>D131-(7000*SIN(M4))</f>
        <v>-279.64018656807957</v>
      </c>
      <c r="E132" s="260">
        <f>E131+(7000*COS(M4))</f>
        <v>7023.0395865167502</v>
      </c>
    </row>
    <row r="133" spans="3:20" ht="12" thickBot="1" x14ac:dyDescent="0.3">
      <c r="C133" s="220"/>
      <c r="G133" s="175"/>
      <c r="H133" s="175"/>
      <c r="I133" s="175"/>
      <c r="S133" s="9"/>
      <c r="T133" s="9"/>
    </row>
    <row r="134" spans="3:20" ht="12" thickBot="1" x14ac:dyDescent="0.3">
      <c r="C134" s="9"/>
      <c r="G134" s="455" t="s">
        <v>237</v>
      </c>
      <c r="H134" s="456"/>
      <c r="I134" s="457"/>
      <c r="S134" s="9"/>
      <c r="T134" s="9"/>
    </row>
    <row r="135" spans="3:20" x14ac:dyDescent="0.25">
      <c r="C135" s="400" t="s">
        <v>212</v>
      </c>
      <c r="D135" s="403" t="b">
        <f>IF(LEFT($D$14,5)="Plain",FALSE,TRUE)</f>
        <v>0</v>
      </c>
      <c r="E135" s="398"/>
      <c r="G135" s="291" t="s">
        <v>16</v>
      </c>
      <c r="H135" s="390" t="s">
        <v>17</v>
      </c>
      <c r="I135" s="292" t="s">
        <v>18</v>
      </c>
      <c r="S135" s="9"/>
      <c r="T135" s="9"/>
    </row>
    <row r="136" spans="3:20" x14ac:dyDescent="0.25">
      <c r="C136" s="401" t="s">
        <v>213</v>
      </c>
      <c r="D136" s="404" t="b">
        <f>D16</f>
        <v>0</v>
      </c>
      <c r="E136" s="138"/>
      <c r="G136" s="239" t="s">
        <v>230</v>
      </c>
      <c r="H136" s="257" t="str">
        <f>IF($D$15,IF($D$136="Left",-2500,2500),"")</f>
        <v/>
      </c>
      <c r="I136" s="258" t="str">
        <f>IF($D$15,D146,"")</f>
        <v/>
      </c>
      <c r="S136" s="9"/>
      <c r="T136" s="9"/>
    </row>
    <row r="137" spans="3:20" x14ac:dyDescent="0.25">
      <c r="C137" s="401" t="s">
        <v>214</v>
      </c>
      <c r="D137" s="405" t="str">
        <f>IF($D$8=0,"Tangent",IF($D$12="Right",IF($D$136="Right","Convex","Concave"),IF($D$136="Left","Convex","Concave")))</f>
        <v>Concave</v>
      </c>
      <c r="E137" s="138"/>
      <c r="G137" s="239" t="s">
        <v>231</v>
      </c>
      <c r="H137" s="257" t="str">
        <f>IF($D$15,IF($D$136="Left",$D$145*-1,$D$145),"")</f>
        <v/>
      </c>
      <c r="I137" s="258" t="str">
        <f>IF($D$15,D146,"")</f>
        <v/>
      </c>
      <c r="S137" s="9"/>
      <c r="T137" s="9"/>
    </row>
    <row r="138" spans="3:20" x14ac:dyDescent="0.25">
      <c r="C138" s="401" t="s">
        <v>215</v>
      </c>
      <c r="D138" s="405" t="str">
        <f>IF(ISNUMBER(FIND("Plain Line",$D$14)),"N/A",IF(ISNUMBER(FIND("Level",$D$14)),"Level","Standard"))</f>
        <v>N/A</v>
      </c>
      <c r="E138" s="138"/>
      <c r="G138" s="239" t="s">
        <v>232</v>
      </c>
      <c r="H138" s="257" t="str">
        <f>IF($D$15,H137,"")</f>
        <v/>
      </c>
      <c r="I138" s="258" t="str">
        <f>IF($D$15,D146-200,"")</f>
        <v/>
      </c>
    </row>
    <row r="139" spans="3:20" x14ac:dyDescent="0.25">
      <c r="C139" s="401" t="s">
        <v>226</v>
      </c>
      <c r="D139" s="405">
        <f>IF($D$138="Standard",VLOOKUP($D$4,RC_Platform_Clearance,2),VLOOKUP($D$4,RC_Platform_Clearance,3))</f>
        <v>1665</v>
      </c>
      <c r="E139" s="138" t="s">
        <v>77</v>
      </c>
      <c r="G139" s="239" t="s">
        <v>233</v>
      </c>
      <c r="H139" s="257" t="str">
        <f>IF($D$15,IF($D$136="Left",$H$137-500,$H$137+500),"")</f>
        <v/>
      </c>
      <c r="I139" s="258" t="str">
        <f>IF($D$15,I138,"")</f>
        <v/>
      </c>
      <c r="K139" s="9"/>
    </row>
    <row r="140" spans="3:20" ht="12" thickBot="1" x14ac:dyDescent="0.3">
      <c r="C140" s="401" t="s">
        <v>227</v>
      </c>
      <c r="D140" s="405">
        <f>IF($D$138="Standard",VLOOKUP($D$4,RC_Platform_Clearance,6),VLOOKUP($D$4,RC_Platform_Clearance,7))</f>
        <v>1200</v>
      </c>
      <c r="E140" s="138" t="s">
        <v>77</v>
      </c>
      <c r="G140" s="240" t="s">
        <v>234</v>
      </c>
      <c r="H140" s="259" t="str">
        <f>IF($D$15,H139,"")</f>
        <v/>
      </c>
      <c r="I140" s="260" t="str">
        <f>IF($D$15,0,"")</f>
        <v/>
      </c>
    </row>
    <row r="141" spans="3:20" x14ac:dyDescent="0.25">
      <c r="C141" s="401" t="s">
        <v>224</v>
      </c>
      <c r="D141" s="405">
        <f>VLOOKUP($D$4,RC_Platform_Clearance,4)</f>
        <v>24300</v>
      </c>
      <c r="E141" s="138"/>
    </row>
    <row r="142" spans="3:20" x14ac:dyDescent="0.25">
      <c r="C142" s="401" t="s">
        <v>225</v>
      </c>
      <c r="D142" s="405">
        <f>VLOOKUP($D$4,RC_Platform_Clearance,5)</f>
        <v>0.75</v>
      </c>
      <c r="E142" s="138"/>
    </row>
    <row r="143" spans="3:20" x14ac:dyDescent="0.25">
      <c r="C143" s="401" t="s">
        <v>235</v>
      </c>
      <c r="D143" s="406">
        <f>IF(OR($D$7=0,$D$6="Tangent",$D$7&gt;40000),0,$D$141/$D$7)</f>
        <v>121.5</v>
      </c>
      <c r="E143" s="138" t="s">
        <v>77</v>
      </c>
    </row>
    <row r="144" spans="3:20" x14ac:dyDescent="0.25">
      <c r="C144" s="401" t="s">
        <v>236</v>
      </c>
      <c r="D144" s="406">
        <f>IF($D$12="Right",IF($D$136="Right",$D$142*$D$8,$D$142*$D$8*-1),IF($D$136="Left",$D$142*$D$8,$D$142*$D$8*-1))</f>
        <v>-45</v>
      </c>
      <c r="E144" s="138" t="s">
        <v>77</v>
      </c>
    </row>
    <row r="145" spans="3:69" x14ac:dyDescent="0.25">
      <c r="C145" s="401" t="s">
        <v>228</v>
      </c>
      <c r="D145" s="407">
        <f>D139+D143+D144</f>
        <v>1741.5</v>
      </c>
      <c r="E145" s="138" t="s">
        <v>77</v>
      </c>
    </row>
    <row r="146" spans="3:69" x14ac:dyDescent="0.25">
      <c r="C146" s="401" t="s">
        <v>229</v>
      </c>
      <c r="D146" s="406">
        <f>IF($D$137="Convex",$D$140-0.7*$D$8,$D$140+1.7*$D$8)</f>
        <v>1302</v>
      </c>
      <c r="E146" s="138" t="s">
        <v>77</v>
      </c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</row>
    <row r="147" spans="3:69" x14ac:dyDescent="0.25">
      <c r="C147" s="402"/>
      <c r="D147" s="408"/>
      <c r="E147" s="39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</row>
    <row r="148" spans="3:69" x14ac:dyDescent="0.25">
      <c r="C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</row>
    <row r="149" spans="3:69" x14ac:dyDescent="0.25">
      <c r="C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</row>
    <row r="150" spans="3:69" x14ac:dyDescent="0.25">
      <c r="C150" s="9"/>
      <c r="H150" s="263"/>
      <c r="I150" s="263"/>
      <c r="N150" s="263"/>
      <c r="O150" s="263"/>
      <c r="P150" s="263"/>
      <c r="Q150" s="263"/>
      <c r="R150" s="263"/>
      <c r="S150" s="263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  <c r="AG150" s="265"/>
      <c r="AH150" s="265"/>
      <c r="AI150" s="265"/>
      <c r="AJ150" s="265"/>
      <c r="AK150" s="265"/>
      <c r="AL150" s="265"/>
      <c r="AM150" s="265"/>
      <c r="AN150" s="265"/>
      <c r="AO150" s="265"/>
      <c r="AP150" s="265"/>
      <c r="AQ150" s="265"/>
      <c r="AR150" s="265"/>
      <c r="AS150" s="265"/>
      <c r="AT150" s="265"/>
      <c r="AU150" s="265"/>
      <c r="AV150" s="265"/>
      <c r="AW150" s="265"/>
      <c r="AX150" s="265"/>
      <c r="AY150" s="265"/>
      <c r="AZ150" s="265"/>
      <c r="BA150" s="265"/>
      <c r="BB150" s="265"/>
      <c r="BC150" s="265"/>
      <c r="BD150" s="265"/>
      <c r="BE150" s="265"/>
      <c r="BF150" s="265"/>
      <c r="BG150" s="265"/>
      <c r="BH150" s="265"/>
      <c r="BI150" s="265"/>
      <c r="BJ150" s="265"/>
      <c r="BK150" s="265"/>
      <c r="BL150" s="265"/>
      <c r="BM150" s="265"/>
      <c r="BN150" s="265"/>
      <c r="BO150" s="265"/>
      <c r="BP150" s="263"/>
      <c r="BQ150" s="263"/>
    </row>
    <row r="151" spans="3:69" x14ac:dyDescent="0.25">
      <c r="C151" s="9"/>
      <c r="H151" s="263"/>
      <c r="I151" s="263"/>
      <c r="N151" s="263"/>
      <c r="O151" s="263"/>
      <c r="P151" s="263"/>
      <c r="Q151" s="263"/>
      <c r="R151" s="263"/>
      <c r="S151" s="263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  <c r="AG151" s="265"/>
      <c r="AH151" s="265"/>
      <c r="AI151" s="265"/>
      <c r="AJ151" s="265"/>
      <c r="AK151" s="265"/>
      <c r="AL151" s="265"/>
      <c r="AM151" s="265"/>
      <c r="AN151" s="265"/>
      <c r="AO151" s="265"/>
      <c r="AP151" s="265"/>
      <c r="AQ151" s="265"/>
      <c r="AR151" s="265"/>
      <c r="AS151" s="265"/>
      <c r="AT151" s="265"/>
      <c r="AU151" s="265"/>
      <c r="AV151" s="265"/>
      <c r="AW151" s="265"/>
      <c r="AX151" s="265"/>
      <c r="AY151" s="265"/>
      <c r="AZ151" s="265"/>
      <c r="BA151" s="265"/>
      <c r="BB151" s="265"/>
      <c r="BC151" s="265"/>
      <c r="BD151" s="265"/>
      <c r="BE151" s="265"/>
      <c r="BF151" s="265"/>
      <c r="BG151" s="265"/>
      <c r="BH151" s="265"/>
      <c r="BI151" s="265"/>
      <c r="BJ151" s="265"/>
      <c r="BK151" s="265"/>
      <c r="BL151" s="265"/>
      <c r="BM151" s="265"/>
      <c r="BN151" s="265"/>
      <c r="BO151" s="265"/>
      <c r="BP151" s="263"/>
      <c r="BQ151" s="263"/>
    </row>
    <row r="152" spans="3:69" x14ac:dyDescent="0.25">
      <c r="C152" s="9"/>
      <c r="H152" s="263"/>
      <c r="I152" s="263"/>
      <c r="N152" s="263"/>
      <c r="O152" s="263"/>
      <c r="P152" s="263"/>
      <c r="Q152" s="263"/>
      <c r="R152" s="263"/>
      <c r="S152" s="263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  <c r="AG152" s="265"/>
      <c r="AH152" s="265"/>
      <c r="AI152" s="265"/>
      <c r="AJ152" s="265"/>
      <c r="AK152" s="265"/>
      <c r="AL152" s="265"/>
      <c r="AM152" s="265"/>
      <c r="AN152" s="265"/>
      <c r="AO152" s="265"/>
      <c r="AP152" s="265"/>
      <c r="AQ152" s="265"/>
      <c r="AR152" s="265"/>
      <c r="AS152" s="265"/>
      <c r="AT152" s="265"/>
      <c r="AU152" s="265"/>
      <c r="AV152" s="265"/>
      <c r="AW152" s="265"/>
      <c r="AX152" s="265"/>
      <c r="AY152" s="265"/>
      <c r="AZ152" s="265"/>
      <c r="BA152" s="265"/>
      <c r="BB152" s="265"/>
      <c r="BC152" s="265"/>
      <c r="BD152" s="265"/>
      <c r="BE152" s="265"/>
      <c r="BF152" s="265"/>
      <c r="BG152" s="265"/>
      <c r="BH152" s="265"/>
      <c r="BI152" s="265"/>
      <c r="BJ152" s="265"/>
      <c r="BK152" s="265"/>
      <c r="BL152" s="265"/>
      <c r="BM152" s="265"/>
      <c r="BN152" s="265"/>
      <c r="BO152" s="265"/>
      <c r="BP152" s="263"/>
      <c r="BQ152" s="263"/>
    </row>
    <row r="153" spans="3:69" x14ac:dyDescent="0.25">
      <c r="C153" s="9"/>
      <c r="H153" s="265"/>
      <c r="I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  <c r="AG153" s="265"/>
      <c r="AH153" s="265"/>
      <c r="AI153" s="265"/>
      <c r="AJ153" s="265"/>
      <c r="AK153" s="265"/>
      <c r="AL153" s="265"/>
      <c r="AM153" s="265"/>
      <c r="AN153" s="265"/>
      <c r="AO153" s="265"/>
      <c r="AP153" s="265"/>
      <c r="AQ153" s="265"/>
      <c r="AR153" s="265"/>
      <c r="AS153" s="265"/>
      <c r="AT153" s="265"/>
      <c r="AU153" s="265"/>
      <c r="AV153" s="265"/>
      <c r="AW153" s="265"/>
      <c r="AX153" s="265"/>
      <c r="AY153" s="265"/>
      <c r="AZ153" s="265"/>
      <c r="BA153" s="265"/>
      <c r="BB153" s="265"/>
      <c r="BC153" s="265"/>
      <c r="BD153" s="265"/>
      <c r="BE153" s="265"/>
      <c r="BF153" s="265"/>
      <c r="BG153" s="265"/>
      <c r="BH153" s="265"/>
      <c r="BI153" s="265"/>
      <c r="BJ153" s="265"/>
      <c r="BK153" s="265"/>
      <c r="BL153" s="265"/>
      <c r="BM153" s="265"/>
      <c r="BN153" s="265"/>
      <c r="BO153" s="265"/>
      <c r="BP153" s="263"/>
      <c r="BQ153" s="263"/>
    </row>
    <row r="154" spans="3:69" x14ac:dyDescent="0.25">
      <c r="C154" s="9"/>
      <c r="H154" s="265"/>
      <c r="I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  <c r="AG154" s="265"/>
      <c r="AH154" s="265"/>
      <c r="AI154" s="265"/>
      <c r="AJ154" s="265"/>
      <c r="AK154" s="265"/>
      <c r="AL154" s="265"/>
      <c r="AM154" s="265"/>
      <c r="AN154" s="265"/>
      <c r="AO154" s="265"/>
      <c r="AP154" s="265"/>
      <c r="AQ154" s="265"/>
      <c r="AR154" s="265"/>
      <c r="AS154" s="265"/>
      <c r="AT154" s="265"/>
      <c r="AU154" s="265"/>
      <c r="AV154" s="265"/>
      <c r="AW154" s="265"/>
      <c r="AX154" s="265"/>
      <c r="AY154" s="265"/>
      <c r="AZ154" s="265"/>
      <c r="BA154" s="265"/>
      <c r="BB154" s="265"/>
      <c r="BC154" s="265"/>
      <c r="BD154" s="265"/>
      <c r="BE154" s="265"/>
      <c r="BF154" s="265"/>
      <c r="BG154" s="265"/>
      <c r="BH154" s="265"/>
      <c r="BI154" s="265"/>
      <c r="BJ154" s="265"/>
      <c r="BK154" s="265"/>
      <c r="BL154" s="265"/>
      <c r="BM154" s="265"/>
      <c r="BN154" s="265"/>
      <c r="BO154" s="265"/>
      <c r="BP154" s="263"/>
      <c r="BQ154" s="263"/>
    </row>
    <row r="155" spans="3:69" x14ac:dyDescent="0.25">
      <c r="H155" s="265"/>
      <c r="I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  <c r="AG155" s="265"/>
      <c r="AH155" s="265"/>
      <c r="AI155" s="265"/>
      <c r="AJ155" s="265"/>
      <c r="AK155" s="265"/>
      <c r="AL155" s="265"/>
      <c r="AM155" s="265"/>
      <c r="AN155" s="265"/>
      <c r="AO155" s="265"/>
      <c r="AP155" s="265"/>
      <c r="AQ155" s="265"/>
      <c r="AR155" s="265"/>
      <c r="AS155" s="265"/>
      <c r="AT155" s="265"/>
      <c r="AU155" s="265"/>
      <c r="AV155" s="265"/>
      <c r="AW155" s="265"/>
      <c r="AX155" s="265"/>
      <c r="AY155" s="265"/>
      <c r="AZ155" s="265"/>
      <c r="BA155" s="265"/>
      <c r="BB155" s="265"/>
      <c r="BC155" s="265"/>
      <c r="BD155" s="265"/>
      <c r="BE155" s="265"/>
      <c r="BF155" s="265"/>
      <c r="BG155" s="265"/>
      <c r="BH155" s="265"/>
      <c r="BI155" s="265"/>
      <c r="BJ155" s="265"/>
      <c r="BK155" s="265"/>
      <c r="BL155" s="265"/>
      <c r="BM155" s="265"/>
      <c r="BN155" s="265"/>
      <c r="BO155" s="265"/>
      <c r="BP155" s="263"/>
      <c r="BQ155" s="263"/>
    </row>
    <row r="156" spans="3:69" x14ac:dyDescent="0.25">
      <c r="H156" s="265"/>
      <c r="I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  <c r="AG156" s="265"/>
      <c r="AH156" s="265"/>
      <c r="AI156" s="265"/>
      <c r="AJ156" s="265"/>
      <c r="AK156" s="265"/>
      <c r="AL156" s="265"/>
      <c r="AM156" s="265"/>
      <c r="AN156" s="265"/>
      <c r="AO156" s="265"/>
      <c r="AP156" s="265"/>
      <c r="AQ156" s="265"/>
      <c r="AR156" s="265"/>
      <c r="AS156" s="265"/>
      <c r="AT156" s="265"/>
      <c r="AU156" s="265"/>
      <c r="AV156" s="265"/>
      <c r="AW156" s="265"/>
      <c r="AX156" s="265"/>
      <c r="AY156" s="265"/>
      <c r="AZ156" s="265"/>
      <c r="BA156" s="265"/>
      <c r="BB156" s="265"/>
      <c r="BC156" s="265"/>
      <c r="BD156" s="265"/>
      <c r="BE156" s="265"/>
      <c r="BF156" s="265"/>
      <c r="BG156" s="265"/>
      <c r="BH156" s="265"/>
      <c r="BI156" s="265"/>
      <c r="BJ156" s="265"/>
      <c r="BK156" s="265"/>
      <c r="BL156" s="265"/>
      <c r="BM156" s="265"/>
      <c r="BN156" s="265"/>
      <c r="BO156" s="265"/>
      <c r="BP156" s="263"/>
      <c r="BQ156" s="263"/>
    </row>
    <row r="157" spans="3:69" x14ac:dyDescent="0.25">
      <c r="H157" s="265"/>
      <c r="I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  <c r="BC157" s="265"/>
      <c r="BD157" s="265"/>
      <c r="BE157" s="265"/>
      <c r="BF157" s="265"/>
      <c r="BG157" s="265"/>
      <c r="BH157" s="265"/>
      <c r="BI157" s="265"/>
      <c r="BJ157" s="265"/>
      <c r="BK157" s="265"/>
      <c r="BL157" s="265"/>
      <c r="BM157" s="265"/>
      <c r="BN157" s="265"/>
      <c r="BO157" s="265"/>
      <c r="BP157" s="263"/>
      <c r="BQ157" s="263"/>
    </row>
    <row r="158" spans="3:69" x14ac:dyDescent="0.25">
      <c r="H158" s="265"/>
      <c r="I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  <c r="AG158" s="265"/>
      <c r="AH158" s="265"/>
      <c r="AI158" s="265"/>
      <c r="AJ158" s="265"/>
      <c r="AK158" s="265"/>
      <c r="AL158" s="265"/>
      <c r="AM158" s="265"/>
      <c r="AN158" s="265"/>
      <c r="AO158" s="265"/>
      <c r="AP158" s="265"/>
      <c r="AQ158" s="265"/>
      <c r="AR158" s="265"/>
      <c r="AS158" s="265"/>
      <c r="AT158" s="265"/>
      <c r="AU158" s="265"/>
      <c r="AV158" s="265"/>
      <c r="AW158" s="265"/>
      <c r="AX158" s="265"/>
      <c r="AY158" s="265"/>
      <c r="AZ158" s="265"/>
      <c r="BA158" s="265"/>
      <c r="BB158" s="265"/>
      <c r="BC158" s="265"/>
      <c r="BD158" s="265"/>
      <c r="BE158" s="265"/>
      <c r="BF158" s="265"/>
      <c r="BG158" s="265"/>
      <c r="BH158" s="265"/>
      <c r="BI158" s="265"/>
      <c r="BJ158" s="265"/>
      <c r="BK158" s="265"/>
      <c r="BL158" s="265"/>
      <c r="BM158" s="265"/>
      <c r="BN158" s="265"/>
      <c r="BO158" s="265"/>
      <c r="BP158" s="263"/>
      <c r="BQ158" s="263"/>
    </row>
    <row r="159" spans="3:69" x14ac:dyDescent="0.25">
      <c r="F159" s="276"/>
      <c r="G159" s="276"/>
      <c r="H159" s="265"/>
      <c r="I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  <c r="AG159" s="265"/>
      <c r="AH159" s="265"/>
      <c r="AI159" s="265"/>
      <c r="AJ159" s="265"/>
      <c r="AK159" s="265"/>
      <c r="AL159" s="265"/>
      <c r="AM159" s="265"/>
      <c r="AN159" s="265"/>
      <c r="AO159" s="265"/>
      <c r="AP159" s="265"/>
      <c r="AQ159" s="265"/>
      <c r="AR159" s="265"/>
      <c r="AS159" s="265"/>
      <c r="AT159" s="265"/>
      <c r="AU159" s="265"/>
      <c r="AV159" s="265"/>
      <c r="AW159" s="265"/>
      <c r="AX159" s="265"/>
      <c r="AY159" s="265"/>
      <c r="AZ159" s="265"/>
      <c r="BA159" s="265"/>
      <c r="BB159" s="265"/>
      <c r="BC159" s="265"/>
      <c r="BD159" s="265"/>
      <c r="BE159" s="265"/>
      <c r="BF159" s="265"/>
      <c r="BG159" s="265"/>
      <c r="BH159" s="265"/>
      <c r="BI159" s="265"/>
      <c r="BJ159" s="265"/>
      <c r="BK159" s="265"/>
      <c r="BL159" s="265"/>
      <c r="BM159" s="265"/>
      <c r="BN159" s="265"/>
      <c r="BO159" s="265"/>
      <c r="BP159" s="263"/>
      <c r="BQ159" s="263"/>
    </row>
    <row r="160" spans="3:69" x14ac:dyDescent="0.25">
      <c r="F160" s="276"/>
      <c r="G160" s="276"/>
      <c r="H160" s="265"/>
      <c r="I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  <c r="AG160" s="265"/>
      <c r="AH160" s="265"/>
      <c r="AI160" s="265"/>
      <c r="AJ160" s="265"/>
      <c r="AK160" s="265"/>
      <c r="AL160" s="265"/>
      <c r="AM160" s="265"/>
      <c r="AN160" s="265"/>
      <c r="AO160" s="265"/>
      <c r="AP160" s="265"/>
      <c r="AQ160" s="265"/>
      <c r="AR160" s="265"/>
      <c r="AS160" s="265"/>
      <c r="AT160" s="265"/>
      <c r="AU160" s="265"/>
      <c r="AV160" s="265"/>
      <c r="AW160" s="265"/>
      <c r="AX160" s="265"/>
      <c r="AY160" s="265"/>
      <c r="AZ160" s="265"/>
      <c r="BA160" s="265"/>
      <c r="BB160" s="265"/>
      <c r="BC160" s="265"/>
      <c r="BD160" s="265"/>
      <c r="BE160" s="265"/>
      <c r="BF160" s="265"/>
      <c r="BG160" s="265"/>
      <c r="BH160" s="265"/>
      <c r="BI160" s="265"/>
      <c r="BJ160" s="265"/>
      <c r="BK160" s="265"/>
      <c r="BL160" s="265"/>
      <c r="BM160" s="265"/>
      <c r="BN160" s="265"/>
      <c r="BO160" s="265"/>
      <c r="BP160" s="263"/>
      <c r="BQ160" s="263"/>
    </row>
    <row r="161" spans="3:69" x14ac:dyDescent="0.25">
      <c r="C161" s="9"/>
      <c r="F161" s="276"/>
      <c r="G161" s="276"/>
      <c r="H161" s="265"/>
      <c r="I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  <c r="AG161" s="265"/>
      <c r="AH161" s="265"/>
      <c r="AI161" s="265"/>
      <c r="AJ161" s="265"/>
      <c r="AK161" s="265"/>
      <c r="AL161" s="265"/>
      <c r="AM161" s="265"/>
      <c r="AN161" s="265"/>
      <c r="AO161" s="265"/>
      <c r="AP161" s="265"/>
      <c r="AQ161" s="265"/>
      <c r="AR161" s="265"/>
      <c r="AS161" s="265"/>
      <c r="AT161" s="265"/>
      <c r="AU161" s="265"/>
      <c r="AV161" s="265"/>
      <c r="AW161" s="265"/>
      <c r="AX161" s="265"/>
      <c r="AY161" s="265"/>
      <c r="AZ161" s="265"/>
      <c r="BA161" s="265"/>
      <c r="BB161" s="265"/>
      <c r="BC161" s="265"/>
      <c r="BD161" s="265"/>
      <c r="BE161" s="265"/>
      <c r="BF161" s="265"/>
      <c r="BG161" s="265"/>
      <c r="BH161" s="265"/>
      <c r="BI161" s="265"/>
      <c r="BJ161" s="265"/>
      <c r="BK161" s="265"/>
      <c r="BL161" s="265"/>
      <c r="BM161" s="265"/>
      <c r="BN161" s="265"/>
      <c r="BO161" s="265"/>
      <c r="BP161" s="263"/>
      <c r="BQ161" s="263"/>
    </row>
    <row r="162" spans="3:69" x14ac:dyDescent="0.25">
      <c r="C162" s="9"/>
      <c r="F162" s="276"/>
      <c r="G162" s="276"/>
      <c r="H162" s="265"/>
      <c r="I162" s="281"/>
      <c r="N162" s="282"/>
      <c r="O162" s="282"/>
      <c r="P162" s="282"/>
      <c r="Q162" s="282"/>
      <c r="R162" s="282"/>
      <c r="S162" s="282"/>
      <c r="T162" s="282"/>
      <c r="U162" s="281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71"/>
      <c r="AF162" s="271"/>
      <c r="AG162" s="281"/>
      <c r="AH162" s="281"/>
      <c r="AI162" s="281"/>
      <c r="AJ162" s="281"/>
      <c r="AK162" s="281"/>
      <c r="AL162" s="281"/>
      <c r="AM162" s="281"/>
      <c r="AN162" s="281"/>
      <c r="AO162" s="271"/>
      <c r="AP162" s="271"/>
      <c r="AQ162" s="281"/>
      <c r="AR162" s="281"/>
      <c r="AS162" s="281"/>
      <c r="AT162" s="281"/>
      <c r="AU162" s="281"/>
      <c r="AV162" s="281"/>
      <c r="AW162" s="281"/>
      <c r="AX162" s="281"/>
      <c r="AY162" s="281"/>
      <c r="AZ162" s="281"/>
      <c r="BA162" s="281"/>
      <c r="BB162" s="281"/>
      <c r="BC162" s="281"/>
      <c r="BD162" s="281"/>
      <c r="BE162" s="281"/>
      <c r="BF162" s="281"/>
      <c r="BG162" s="281"/>
      <c r="BH162" s="265"/>
      <c r="BI162" s="265"/>
      <c r="BJ162" s="265"/>
      <c r="BK162" s="265"/>
      <c r="BL162" s="265"/>
      <c r="BM162" s="265"/>
      <c r="BN162" s="265"/>
      <c r="BO162" s="265"/>
      <c r="BP162" s="263"/>
      <c r="BQ162" s="263"/>
    </row>
    <row r="163" spans="3:69" x14ac:dyDescent="0.25">
      <c r="C163" s="9"/>
      <c r="F163" s="276"/>
      <c r="G163" s="276"/>
      <c r="H163" s="265"/>
      <c r="I163" s="275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267"/>
      <c r="AC163" s="267"/>
      <c r="AD163" s="267"/>
      <c r="AE163" s="267"/>
      <c r="AF163" s="267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65"/>
      <c r="BI163" s="265"/>
      <c r="BJ163" s="265"/>
      <c r="BK163" s="265"/>
      <c r="BL163" s="265"/>
      <c r="BM163" s="265"/>
      <c r="BN163" s="265"/>
      <c r="BO163" s="265"/>
      <c r="BP163" s="263"/>
      <c r="BQ163" s="263"/>
    </row>
    <row r="164" spans="3:69" x14ac:dyDescent="0.25">
      <c r="C164" s="9"/>
      <c r="F164" s="276"/>
      <c r="G164" s="276"/>
      <c r="H164" s="265"/>
      <c r="I164" s="275"/>
      <c r="N164" s="265"/>
      <c r="O164" s="265"/>
      <c r="P164" s="265"/>
      <c r="Q164" s="264"/>
      <c r="R164" s="264"/>
      <c r="S164" s="264"/>
      <c r="T164" s="264"/>
      <c r="U164" s="268"/>
      <c r="V164" s="269"/>
      <c r="W164" s="268"/>
      <c r="X164" s="270"/>
      <c r="Y164" s="269"/>
      <c r="Z164" s="269"/>
      <c r="AA164" s="264"/>
      <c r="AB164" s="264"/>
      <c r="AC164" s="264"/>
      <c r="AD164" s="264"/>
      <c r="AE164" s="264"/>
      <c r="AF164" s="264"/>
      <c r="AG164" s="269"/>
      <c r="AH164" s="268"/>
      <c r="AI164" s="264"/>
      <c r="AJ164" s="264"/>
      <c r="AK164" s="264"/>
      <c r="AL164" s="264"/>
      <c r="AM164" s="264"/>
      <c r="AN164" s="264"/>
      <c r="AO164" s="264"/>
      <c r="AP164" s="264"/>
      <c r="AQ164" s="264"/>
      <c r="AR164" s="264"/>
      <c r="AS164" s="264"/>
      <c r="AT164" s="264"/>
      <c r="AU164" s="264"/>
      <c r="AV164" s="264"/>
      <c r="AW164" s="264"/>
      <c r="AX164" s="264"/>
      <c r="AY164" s="264"/>
      <c r="AZ164" s="264"/>
      <c r="BA164" s="264"/>
      <c r="BB164" s="264"/>
      <c r="BC164" s="264"/>
      <c r="BD164" s="264"/>
      <c r="BE164" s="264"/>
      <c r="BF164" s="264"/>
      <c r="BG164" s="264"/>
      <c r="BH164" s="265"/>
      <c r="BI164" s="265"/>
      <c r="BJ164" s="265"/>
      <c r="BK164" s="265"/>
      <c r="BL164" s="265"/>
      <c r="BM164" s="265"/>
      <c r="BN164" s="265"/>
      <c r="BO164" s="265"/>
      <c r="BP164" s="263"/>
      <c r="BQ164" s="263"/>
    </row>
    <row r="165" spans="3:69" x14ac:dyDescent="0.25">
      <c r="C165" s="9"/>
      <c r="D165" s="276"/>
      <c r="E165" s="9"/>
      <c r="F165" s="276"/>
      <c r="G165" s="276"/>
      <c r="H165" s="265"/>
      <c r="I165" s="275"/>
      <c r="N165" s="265"/>
      <c r="O165" s="265"/>
      <c r="P165" s="265"/>
      <c r="Q165" s="264"/>
      <c r="R165" s="264"/>
      <c r="S165" s="264"/>
      <c r="T165" s="264"/>
      <c r="U165" s="268"/>
      <c r="V165" s="269"/>
      <c r="W165" s="268"/>
      <c r="X165" s="270"/>
      <c r="Y165" s="269"/>
      <c r="Z165" s="269"/>
      <c r="AA165" s="264"/>
      <c r="AB165" s="264"/>
      <c r="AC165" s="264"/>
      <c r="AD165" s="264"/>
      <c r="AE165" s="264"/>
      <c r="AF165" s="264"/>
      <c r="AG165" s="269"/>
      <c r="AH165" s="268"/>
      <c r="AI165" s="264"/>
      <c r="AJ165" s="264"/>
      <c r="AK165" s="264"/>
      <c r="AL165" s="264"/>
      <c r="AM165" s="264"/>
      <c r="AN165" s="264"/>
      <c r="AO165" s="264"/>
      <c r="AP165" s="264"/>
      <c r="AQ165" s="264"/>
      <c r="AR165" s="264"/>
      <c r="AS165" s="264"/>
      <c r="AT165" s="264"/>
      <c r="AU165" s="264"/>
      <c r="AV165" s="264"/>
      <c r="AW165" s="264"/>
      <c r="AX165" s="264"/>
      <c r="AY165" s="264"/>
      <c r="AZ165" s="264"/>
      <c r="BA165" s="264"/>
      <c r="BB165" s="270"/>
      <c r="BC165" s="270"/>
      <c r="BD165" s="270"/>
      <c r="BE165" s="270"/>
      <c r="BF165" s="264"/>
      <c r="BG165" s="264"/>
      <c r="BH165" s="265"/>
      <c r="BI165" s="265"/>
      <c r="BJ165" s="265"/>
      <c r="BK165" s="265"/>
      <c r="BL165" s="265"/>
      <c r="BM165" s="265"/>
      <c r="BN165" s="265"/>
      <c r="BO165" s="265"/>
      <c r="BP165" s="263"/>
      <c r="BQ165" s="263"/>
    </row>
    <row r="166" spans="3:69" x14ac:dyDescent="0.25">
      <c r="C166" s="9"/>
      <c r="D166" s="276"/>
      <c r="E166" s="9"/>
      <c r="F166" s="276"/>
      <c r="G166" s="276"/>
      <c r="H166" s="265"/>
      <c r="I166" s="275"/>
      <c r="N166" s="265"/>
      <c r="O166" s="265"/>
      <c r="P166" s="265"/>
      <c r="Q166" s="264"/>
      <c r="R166" s="264"/>
      <c r="S166" s="264"/>
      <c r="T166" s="264"/>
      <c r="U166" s="268"/>
      <c r="V166" s="269"/>
      <c r="W166" s="268"/>
      <c r="X166" s="270"/>
      <c r="Y166" s="269"/>
      <c r="Z166" s="269"/>
      <c r="AA166" s="264"/>
      <c r="AB166" s="264"/>
      <c r="AC166" s="264"/>
      <c r="AD166" s="264"/>
      <c r="AE166" s="264"/>
      <c r="AF166" s="264"/>
      <c r="AG166" s="269"/>
      <c r="AH166" s="268"/>
      <c r="AI166" s="264"/>
      <c r="AJ166" s="264"/>
      <c r="AK166" s="264"/>
      <c r="AL166" s="264"/>
      <c r="AM166" s="264"/>
      <c r="AN166" s="264"/>
      <c r="AO166" s="264"/>
      <c r="AP166" s="264"/>
      <c r="AQ166" s="264"/>
      <c r="AR166" s="264"/>
      <c r="AS166" s="264"/>
      <c r="AT166" s="264"/>
      <c r="AU166" s="264"/>
      <c r="AV166" s="264"/>
      <c r="AW166" s="264"/>
      <c r="AX166" s="264"/>
      <c r="AY166" s="264"/>
      <c r="AZ166" s="264"/>
      <c r="BA166" s="264"/>
      <c r="BB166" s="270"/>
      <c r="BC166" s="270"/>
      <c r="BD166" s="270"/>
      <c r="BE166" s="270"/>
      <c r="BF166" s="264"/>
      <c r="BG166" s="264"/>
      <c r="BH166" s="265"/>
      <c r="BI166" s="265"/>
      <c r="BJ166" s="265"/>
      <c r="BK166" s="265"/>
      <c r="BL166" s="265"/>
      <c r="BM166" s="265"/>
      <c r="BN166" s="265"/>
      <c r="BO166" s="265"/>
      <c r="BP166" s="263"/>
      <c r="BQ166" s="263"/>
    </row>
    <row r="167" spans="3:69" x14ac:dyDescent="0.25">
      <c r="C167" s="9"/>
      <c r="D167" s="276"/>
      <c r="E167" s="9"/>
      <c r="F167" s="276"/>
      <c r="G167" s="276"/>
      <c r="H167" s="265"/>
      <c r="I167" s="275"/>
      <c r="N167" s="265"/>
      <c r="O167" s="265"/>
      <c r="P167" s="265"/>
      <c r="Q167" s="264"/>
      <c r="R167" s="264"/>
      <c r="S167" s="264"/>
      <c r="T167" s="264"/>
      <c r="U167" s="268"/>
      <c r="V167" s="269"/>
      <c r="W167" s="268"/>
      <c r="X167" s="270"/>
      <c r="Y167" s="269"/>
      <c r="Z167" s="269"/>
      <c r="AA167" s="264"/>
      <c r="AB167" s="264"/>
      <c r="AC167" s="264"/>
      <c r="AD167" s="264"/>
      <c r="AE167" s="264"/>
      <c r="AF167" s="264"/>
      <c r="AG167" s="269"/>
      <c r="AH167" s="268"/>
      <c r="AI167" s="264"/>
      <c r="AJ167" s="264"/>
      <c r="AK167" s="264"/>
      <c r="AL167" s="264"/>
      <c r="AM167" s="264"/>
      <c r="AN167" s="264"/>
      <c r="AO167" s="264"/>
      <c r="AP167" s="264"/>
      <c r="AQ167" s="264"/>
      <c r="AR167" s="264"/>
      <c r="AS167" s="264"/>
      <c r="AT167" s="264"/>
      <c r="AU167" s="264"/>
      <c r="AV167" s="264"/>
      <c r="AW167" s="264"/>
      <c r="AX167" s="264"/>
      <c r="AY167" s="264"/>
      <c r="AZ167" s="264"/>
      <c r="BA167" s="264"/>
      <c r="BB167" s="270"/>
      <c r="BC167" s="270"/>
      <c r="BD167" s="270"/>
      <c r="BE167" s="270"/>
      <c r="BF167" s="264"/>
      <c r="BG167" s="264"/>
      <c r="BH167" s="265"/>
      <c r="BI167" s="265"/>
      <c r="BJ167" s="265"/>
      <c r="BK167" s="265"/>
      <c r="BL167" s="265"/>
      <c r="BM167" s="265"/>
      <c r="BN167" s="265"/>
      <c r="BO167" s="265"/>
      <c r="BP167" s="263"/>
      <c r="BQ167" s="263"/>
    </row>
    <row r="168" spans="3:69" x14ac:dyDescent="0.25">
      <c r="C168" s="9"/>
      <c r="D168" s="276"/>
      <c r="E168" s="9"/>
      <c r="F168" s="276"/>
      <c r="G168" s="276"/>
      <c r="H168" s="265"/>
      <c r="I168" s="275"/>
      <c r="N168" s="265"/>
      <c r="O168" s="265"/>
      <c r="P168" s="265"/>
      <c r="Q168" s="264"/>
      <c r="R168" s="264"/>
      <c r="S168" s="264"/>
      <c r="T168" s="264"/>
      <c r="U168" s="268"/>
      <c r="V168" s="269"/>
      <c r="W168" s="268"/>
      <c r="X168" s="270"/>
      <c r="Y168" s="269"/>
      <c r="Z168" s="269"/>
      <c r="AA168" s="264"/>
      <c r="AB168" s="264"/>
      <c r="AC168" s="264"/>
      <c r="AD168" s="264"/>
      <c r="AE168" s="264"/>
      <c r="AF168" s="264"/>
      <c r="AG168" s="269"/>
      <c r="AH168" s="268"/>
      <c r="AI168" s="264"/>
      <c r="AJ168" s="264"/>
      <c r="AK168" s="264"/>
      <c r="AL168" s="264"/>
      <c r="AM168" s="264"/>
      <c r="AN168" s="264"/>
      <c r="AO168" s="264"/>
      <c r="AP168" s="264"/>
      <c r="AQ168" s="264"/>
      <c r="AR168" s="264"/>
      <c r="AS168" s="264"/>
      <c r="AT168" s="264"/>
      <c r="AU168" s="264"/>
      <c r="AV168" s="264"/>
      <c r="AW168" s="264"/>
      <c r="AX168" s="264"/>
      <c r="AY168" s="264"/>
      <c r="AZ168" s="264"/>
      <c r="BA168" s="264"/>
      <c r="BB168" s="270"/>
      <c r="BC168" s="270"/>
      <c r="BD168" s="270"/>
      <c r="BE168" s="270"/>
      <c r="BF168" s="264"/>
      <c r="BG168" s="264"/>
      <c r="BH168" s="265"/>
      <c r="BI168" s="265"/>
      <c r="BJ168" s="265"/>
      <c r="BK168" s="265"/>
      <c r="BL168" s="265"/>
      <c r="BM168" s="265"/>
      <c r="BN168" s="265"/>
      <c r="BO168" s="265"/>
      <c r="BP168" s="263"/>
      <c r="BQ168" s="263"/>
    </row>
    <row r="169" spans="3:69" x14ac:dyDescent="0.25">
      <c r="C169" s="9"/>
      <c r="D169" s="276"/>
      <c r="E169" s="9"/>
      <c r="F169" s="276"/>
      <c r="G169" s="276"/>
      <c r="H169" s="265"/>
      <c r="I169" s="275"/>
      <c r="N169" s="265"/>
      <c r="O169" s="265"/>
      <c r="P169" s="265"/>
      <c r="Q169" s="264"/>
      <c r="R169" s="264"/>
      <c r="S169" s="264"/>
      <c r="T169" s="264"/>
      <c r="U169" s="268"/>
      <c r="V169" s="269"/>
      <c r="W169" s="268"/>
      <c r="X169" s="270"/>
      <c r="Y169" s="269"/>
      <c r="Z169" s="269"/>
      <c r="AA169" s="264"/>
      <c r="AB169" s="264"/>
      <c r="AC169" s="264"/>
      <c r="AD169" s="264"/>
      <c r="AE169" s="264"/>
      <c r="AF169" s="264"/>
      <c r="AG169" s="269"/>
      <c r="AH169" s="268"/>
      <c r="AI169" s="264"/>
      <c r="AJ169" s="264"/>
      <c r="AK169" s="264"/>
      <c r="AL169" s="264"/>
      <c r="AM169" s="264"/>
      <c r="AN169" s="264"/>
      <c r="AO169" s="264"/>
      <c r="AP169" s="264"/>
      <c r="AQ169" s="264"/>
      <c r="AR169" s="264"/>
      <c r="AS169" s="264"/>
      <c r="AT169" s="264"/>
      <c r="AU169" s="264"/>
      <c r="AV169" s="264"/>
      <c r="AW169" s="264"/>
      <c r="AX169" s="264"/>
      <c r="AY169" s="264"/>
      <c r="AZ169" s="264"/>
      <c r="BA169" s="264"/>
      <c r="BB169" s="270"/>
      <c r="BC169" s="270"/>
      <c r="BD169" s="270"/>
      <c r="BE169" s="270"/>
      <c r="BF169" s="264"/>
      <c r="BG169" s="264"/>
      <c r="BH169" s="265"/>
      <c r="BI169" s="265"/>
      <c r="BJ169" s="265"/>
      <c r="BK169" s="265"/>
      <c r="BL169" s="265"/>
      <c r="BM169" s="265"/>
      <c r="BN169" s="265"/>
      <c r="BO169" s="265"/>
      <c r="BP169" s="263"/>
      <c r="BQ169" s="263"/>
    </row>
    <row r="170" spans="3:69" x14ac:dyDescent="0.25">
      <c r="C170" s="9"/>
      <c r="D170" s="276"/>
      <c r="E170" s="9"/>
      <c r="F170" s="276"/>
      <c r="G170" s="276"/>
      <c r="H170" s="265"/>
      <c r="I170" s="275"/>
      <c r="N170" s="265"/>
      <c r="O170" s="265"/>
      <c r="P170" s="265"/>
      <c r="Q170" s="264"/>
      <c r="R170" s="264"/>
      <c r="S170" s="264"/>
      <c r="T170" s="264"/>
      <c r="U170" s="268"/>
      <c r="V170" s="269"/>
      <c r="W170" s="268"/>
      <c r="X170" s="270"/>
      <c r="Y170" s="269"/>
      <c r="Z170" s="269"/>
      <c r="AA170" s="264"/>
      <c r="AB170" s="264"/>
      <c r="AC170" s="264"/>
      <c r="AD170" s="264"/>
      <c r="AE170" s="264"/>
      <c r="AF170" s="264"/>
      <c r="AG170" s="269"/>
      <c r="AH170" s="268"/>
      <c r="AI170" s="264"/>
      <c r="AJ170" s="264"/>
      <c r="AK170" s="264"/>
      <c r="AL170" s="264"/>
      <c r="AM170" s="264"/>
      <c r="AN170" s="264"/>
      <c r="AO170" s="264"/>
      <c r="AP170" s="264"/>
      <c r="AQ170" s="264"/>
      <c r="AR170" s="264"/>
      <c r="AS170" s="264"/>
      <c r="AT170" s="264"/>
      <c r="AU170" s="264"/>
      <c r="AV170" s="264"/>
      <c r="AW170" s="264"/>
      <c r="AX170" s="264"/>
      <c r="AY170" s="264"/>
      <c r="AZ170" s="264"/>
      <c r="BA170" s="264"/>
      <c r="BB170" s="270"/>
      <c r="BC170" s="270"/>
      <c r="BD170" s="270"/>
      <c r="BE170" s="270"/>
      <c r="BF170" s="264"/>
      <c r="BG170" s="264"/>
      <c r="BH170" s="265"/>
      <c r="BI170" s="265"/>
      <c r="BJ170" s="265"/>
      <c r="BK170" s="265"/>
      <c r="BL170" s="265"/>
      <c r="BM170" s="265"/>
      <c r="BN170" s="265"/>
      <c r="BO170" s="265"/>
      <c r="BP170" s="263"/>
      <c r="BQ170" s="263"/>
    </row>
    <row r="171" spans="3:69" x14ac:dyDescent="0.25">
      <c r="C171" s="9"/>
      <c r="D171" s="277"/>
      <c r="E171" s="278"/>
      <c r="F171" s="278"/>
      <c r="G171" s="276"/>
      <c r="H171" s="265"/>
      <c r="I171" s="275"/>
      <c r="J171" s="265"/>
      <c r="K171" s="265"/>
      <c r="L171" s="265"/>
      <c r="M171" s="265"/>
      <c r="N171" s="265"/>
      <c r="O171" s="265"/>
      <c r="P171" s="265"/>
      <c r="Q171" s="264"/>
      <c r="R171" s="264"/>
      <c r="S171" s="264"/>
      <c r="T171" s="264"/>
      <c r="U171" s="268"/>
      <c r="V171" s="269"/>
      <c r="W171" s="268"/>
      <c r="X171" s="270"/>
      <c r="Y171" s="269"/>
      <c r="Z171" s="269"/>
      <c r="AA171" s="264"/>
      <c r="AB171" s="264"/>
      <c r="AC171" s="264"/>
      <c r="AD171" s="264"/>
      <c r="AE171" s="264"/>
      <c r="AF171" s="264"/>
      <c r="AG171" s="269"/>
      <c r="AH171" s="268"/>
      <c r="AI171" s="264"/>
      <c r="AJ171" s="264"/>
      <c r="AK171" s="264"/>
      <c r="AL171" s="264"/>
      <c r="AM171" s="264"/>
      <c r="AN171" s="264"/>
      <c r="AO171" s="264"/>
      <c r="AP171" s="264"/>
      <c r="AQ171" s="264"/>
      <c r="AR171" s="264"/>
      <c r="AS171" s="264"/>
      <c r="AT171" s="264"/>
      <c r="AU171" s="264"/>
      <c r="AV171" s="264"/>
      <c r="AW171" s="264"/>
      <c r="AX171" s="264"/>
      <c r="AY171" s="264"/>
      <c r="AZ171" s="264"/>
      <c r="BA171" s="264"/>
      <c r="BB171" s="270"/>
      <c r="BC171" s="270"/>
      <c r="BD171" s="270"/>
      <c r="BE171" s="270"/>
      <c r="BF171" s="264"/>
      <c r="BG171" s="264"/>
      <c r="BH171" s="265"/>
      <c r="BI171" s="265"/>
      <c r="BJ171" s="265"/>
      <c r="BK171" s="265"/>
      <c r="BL171" s="265"/>
      <c r="BM171" s="265"/>
      <c r="BN171" s="265"/>
      <c r="BO171" s="265"/>
      <c r="BP171" s="263"/>
      <c r="BQ171" s="263"/>
    </row>
    <row r="172" spans="3:69" x14ac:dyDescent="0.25">
      <c r="C172" s="9"/>
      <c r="D172" s="277"/>
      <c r="E172" s="278"/>
      <c r="F172" s="278"/>
      <c r="G172" s="276"/>
      <c r="H172" s="265"/>
      <c r="I172" s="275"/>
      <c r="J172" s="265"/>
      <c r="K172" s="265"/>
      <c r="L172" s="265"/>
      <c r="M172" s="265"/>
      <c r="N172" s="265"/>
      <c r="O172" s="265"/>
      <c r="P172" s="265"/>
      <c r="Q172" s="264"/>
      <c r="R172" s="264"/>
      <c r="S172" s="264"/>
      <c r="T172" s="264"/>
      <c r="U172" s="268"/>
      <c r="V172" s="269"/>
      <c r="W172" s="268"/>
      <c r="X172" s="270"/>
      <c r="Y172" s="269"/>
      <c r="Z172" s="269"/>
      <c r="AA172" s="264"/>
      <c r="AB172" s="264"/>
      <c r="AC172" s="264"/>
      <c r="AD172" s="264"/>
      <c r="AE172" s="264"/>
      <c r="AF172" s="264"/>
      <c r="AG172" s="269"/>
      <c r="AH172" s="268"/>
      <c r="AI172" s="264"/>
      <c r="AJ172" s="264"/>
      <c r="AK172" s="264"/>
      <c r="AL172" s="264"/>
      <c r="AM172" s="264"/>
      <c r="AN172" s="264"/>
      <c r="AO172" s="264"/>
      <c r="AP172" s="264"/>
      <c r="AQ172" s="264"/>
      <c r="AR172" s="264"/>
      <c r="AS172" s="264"/>
      <c r="AT172" s="264"/>
      <c r="AU172" s="264"/>
      <c r="AV172" s="264"/>
      <c r="AW172" s="264"/>
      <c r="AX172" s="264"/>
      <c r="AY172" s="264"/>
      <c r="AZ172" s="264"/>
      <c r="BA172" s="264"/>
      <c r="BB172" s="270"/>
      <c r="BC172" s="270"/>
      <c r="BD172" s="270"/>
      <c r="BE172" s="270"/>
      <c r="BF172" s="264"/>
      <c r="BG172" s="264"/>
      <c r="BH172" s="265"/>
      <c r="BI172" s="265"/>
      <c r="BJ172" s="265"/>
      <c r="BK172" s="265"/>
      <c r="BL172" s="265"/>
      <c r="BM172" s="265"/>
      <c r="BN172" s="265"/>
      <c r="BO172" s="265"/>
      <c r="BP172" s="263"/>
      <c r="BQ172" s="263"/>
    </row>
    <row r="173" spans="3:69" x14ac:dyDescent="0.25">
      <c r="C173" s="9"/>
      <c r="D173" s="277"/>
      <c r="E173" s="278"/>
      <c r="F173" s="278"/>
      <c r="G173" s="276"/>
      <c r="H173" s="265"/>
      <c r="I173" s="275"/>
      <c r="J173" s="265"/>
      <c r="K173" s="265"/>
      <c r="L173" s="265"/>
      <c r="M173" s="265"/>
      <c r="N173" s="265"/>
      <c r="O173" s="265"/>
      <c r="P173" s="265"/>
      <c r="Q173" s="264"/>
      <c r="R173" s="264"/>
      <c r="S173" s="264"/>
      <c r="T173" s="264"/>
      <c r="U173" s="268"/>
      <c r="V173" s="269"/>
      <c r="W173" s="268"/>
      <c r="X173" s="270"/>
      <c r="Y173" s="269"/>
      <c r="Z173" s="269"/>
      <c r="AA173" s="264"/>
      <c r="AB173" s="264"/>
      <c r="AC173" s="264"/>
      <c r="AD173" s="264"/>
      <c r="AE173" s="264"/>
      <c r="AF173" s="264"/>
      <c r="AG173" s="269"/>
      <c r="AH173" s="268"/>
      <c r="AI173" s="264"/>
      <c r="AJ173" s="264"/>
      <c r="AK173" s="264"/>
      <c r="AL173" s="264"/>
      <c r="AM173" s="264"/>
      <c r="AN173" s="264"/>
      <c r="AO173" s="264"/>
      <c r="AP173" s="264"/>
      <c r="AQ173" s="264"/>
      <c r="AR173" s="264"/>
      <c r="AS173" s="264"/>
      <c r="AT173" s="264"/>
      <c r="AU173" s="264"/>
      <c r="AV173" s="264"/>
      <c r="AW173" s="264"/>
      <c r="AX173" s="264"/>
      <c r="AY173" s="264"/>
      <c r="AZ173" s="264"/>
      <c r="BA173" s="264"/>
      <c r="BB173" s="270"/>
      <c r="BC173" s="270"/>
      <c r="BD173" s="270"/>
      <c r="BE173" s="270"/>
      <c r="BF173" s="264"/>
      <c r="BG173" s="264"/>
      <c r="BH173" s="265"/>
      <c r="BI173" s="265"/>
      <c r="BJ173" s="265"/>
      <c r="BK173" s="265"/>
      <c r="BL173" s="265"/>
      <c r="BM173" s="265"/>
      <c r="BN173" s="265"/>
      <c r="BO173" s="265"/>
      <c r="BP173" s="263"/>
      <c r="BQ173" s="263"/>
    </row>
    <row r="174" spans="3:69" x14ac:dyDescent="0.25">
      <c r="C174" s="9"/>
      <c r="D174" s="277"/>
      <c r="E174" s="278"/>
      <c r="F174" s="141"/>
      <c r="H174" s="265"/>
      <c r="I174" s="275"/>
      <c r="J174" s="265"/>
      <c r="K174" s="265"/>
      <c r="L174" s="265"/>
      <c r="M174" s="265"/>
      <c r="N174" s="265"/>
      <c r="O174" s="265"/>
      <c r="P174" s="265"/>
      <c r="Q174" s="264"/>
      <c r="R174" s="264"/>
      <c r="S174" s="264"/>
      <c r="T174" s="264"/>
      <c r="U174" s="268"/>
      <c r="V174" s="269"/>
      <c r="W174" s="268"/>
      <c r="X174" s="270"/>
      <c r="Y174" s="269"/>
      <c r="Z174" s="269"/>
      <c r="AA174" s="264"/>
      <c r="AB174" s="264"/>
      <c r="AC174" s="264"/>
      <c r="AD174" s="264"/>
      <c r="AE174" s="264"/>
      <c r="AF174" s="264"/>
      <c r="AG174" s="269"/>
      <c r="AH174" s="268"/>
      <c r="AI174" s="264"/>
      <c r="AJ174" s="264"/>
      <c r="AK174" s="264"/>
      <c r="AL174" s="264"/>
      <c r="AM174" s="264"/>
      <c r="AN174" s="264"/>
      <c r="AO174" s="264"/>
      <c r="AP174" s="264"/>
      <c r="AQ174" s="264"/>
      <c r="AR174" s="264"/>
      <c r="AS174" s="264"/>
      <c r="AT174" s="264"/>
      <c r="AU174" s="264"/>
      <c r="AV174" s="264"/>
      <c r="AW174" s="264"/>
      <c r="AX174" s="264"/>
      <c r="AY174" s="264"/>
      <c r="AZ174" s="264"/>
      <c r="BA174" s="264"/>
      <c r="BB174" s="270"/>
      <c r="BC174" s="270"/>
      <c r="BD174" s="270"/>
      <c r="BE174" s="270"/>
      <c r="BF174" s="264"/>
      <c r="BG174" s="264"/>
      <c r="BH174" s="265"/>
      <c r="BI174" s="265"/>
      <c r="BJ174" s="265"/>
      <c r="BK174" s="265"/>
      <c r="BL174" s="265"/>
      <c r="BM174" s="265"/>
      <c r="BN174" s="265"/>
      <c r="BO174" s="265"/>
      <c r="BP174" s="263"/>
      <c r="BQ174" s="263"/>
    </row>
    <row r="175" spans="3:69" x14ac:dyDescent="0.25">
      <c r="C175" s="9"/>
      <c r="D175" s="277"/>
      <c r="E175" s="278"/>
      <c r="F175" s="141"/>
      <c r="H175" s="265"/>
      <c r="I175" s="275"/>
      <c r="J175" s="265"/>
      <c r="K175" s="265"/>
      <c r="L175" s="265"/>
      <c r="M175" s="265"/>
      <c r="N175" s="265"/>
      <c r="O175" s="265"/>
      <c r="P175" s="265"/>
      <c r="Q175" s="264"/>
      <c r="R175" s="264"/>
      <c r="S175" s="264"/>
      <c r="T175" s="264"/>
      <c r="U175" s="268"/>
      <c r="V175" s="269"/>
      <c r="W175" s="268"/>
      <c r="X175" s="270"/>
      <c r="Y175" s="269"/>
      <c r="Z175" s="269"/>
      <c r="AA175" s="264"/>
      <c r="AB175" s="264"/>
      <c r="AC175" s="264"/>
      <c r="AD175" s="264"/>
      <c r="AE175" s="264"/>
      <c r="AF175" s="264"/>
      <c r="AG175" s="269"/>
      <c r="AH175" s="268"/>
      <c r="AI175" s="264"/>
      <c r="AJ175" s="264"/>
      <c r="AK175" s="264"/>
      <c r="AL175" s="264"/>
      <c r="AM175" s="264"/>
      <c r="AN175" s="264"/>
      <c r="AO175" s="264"/>
      <c r="AP175" s="264"/>
      <c r="AQ175" s="264"/>
      <c r="AR175" s="264"/>
      <c r="AS175" s="264"/>
      <c r="AT175" s="264"/>
      <c r="AU175" s="264"/>
      <c r="AV175" s="264"/>
      <c r="AW175" s="264"/>
      <c r="AX175" s="264"/>
      <c r="AY175" s="264"/>
      <c r="AZ175" s="264"/>
      <c r="BA175" s="264"/>
      <c r="BB175" s="270"/>
      <c r="BC175" s="270"/>
      <c r="BD175" s="270"/>
      <c r="BE175" s="270"/>
      <c r="BF175" s="264"/>
      <c r="BG175" s="264"/>
      <c r="BH175" s="265"/>
      <c r="BI175" s="265"/>
      <c r="BJ175" s="265"/>
      <c r="BK175" s="265"/>
      <c r="BL175" s="265"/>
      <c r="BM175" s="265"/>
      <c r="BN175" s="265"/>
      <c r="BO175" s="265"/>
      <c r="BP175" s="263"/>
      <c r="BQ175" s="263"/>
    </row>
    <row r="176" spans="3:69" x14ac:dyDescent="0.25">
      <c r="C176" s="9"/>
      <c r="D176" s="277"/>
      <c r="E176" s="278"/>
      <c r="F176" s="141"/>
      <c r="H176" s="265"/>
      <c r="I176" s="275"/>
      <c r="J176" s="265"/>
      <c r="K176" s="265"/>
      <c r="L176" s="265"/>
      <c r="M176" s="265"/>
      <c r="N176" s="265"/>
      <c r="O176" s="265"/>
      <c r="P176" s="265"/>
      <c r="Q176" s="264"/>
      <c r="R176" s="264"/>
      <c r="S176" s="264"/>
      <c r="T176" s="264"/>
      <c r="U176" s="268"/>
      <c r="V176" s="269"/>
      <c r="W176" s="268"/>
      <c r="X176" s="270"/>
      <c r="Y176" s="269"/>
      <c r="Z176" s="269"/>
      <c r="AA176" s="264"/>
      <c r="AB176" s="264"/>
      <c r="AC176" s="264"/>
      <c r="AD176" s="264"/>
      <c r="AE176" s="264"/>
      <c r="AF176" s="264"/>
      <c r="AG176" s="269"/>
      <c r="AH176" s="268"/>
      <c r="AI176" s="264"/>
      <c r="AJ176" s="264"/>
      <c r="AK176" s="264"/>
      <c r="AL176" s="264"/>
      <c r="AM176" s="264"/>
      <c r="AN176" s="264"/>
      <c r="AO176" s="264"/>
      <c r="AP176" s="264"/>
      <c r="AQ176" s="264"/>
      <c r="AR176" s="264"/>
      <c r="AS176" s="264"/>
      <c r="AT176" s="264"/>
      <c r="AU176" s="264"/>
      <c r="AV176" s="264"/>
      <c r="AW176" s="264"/>
      <c r="AX176" s="264"/>
      <c r="AY176" s="264"/>
      <c r="AZ176" s="264"/>
      <c r="BA176" s="264"/>
      <c r="BB176" s="270"/>
      <c r="BC176" s="270"/>
      <c r="BD176" s="270"/>
      <c r="BE176" s="270"/>
      <c r="BF176" s="264"/>
      <c r="BG176" s="264"/>
      <c r="BH176" s="265"/>
      <c r="BI176" s="265"/>
      <c r="BJ176" s="265"/>
      <c r="BK176" s="265"/>
      <c r="BL176" s="265"/>
      <c r="BM176" s="265"/>
      <c r="BN176" s="265"/>
      <c r="BO176" s="265"/>
      <c r="BP176" s="263"/>
      <c r="BQ176" s="263"/>
    </row>
    <row r="177" spans="3:69" x14ac:dyDescent="0.25">
      <c r="C177" s="9"/>
      <c r="D177" s="277"/>
      <c r="E177" s="278"/>
      <c r="F177" s="141"/>
      <c r="H177" s="265"/>
      <c r="I177" s="275"/>
      <c r="J177" s="265"/>
      <c r="K177" s="265"/>
      <c r="L177" s="265"/>
      <c r="M177" s="265"/>
      <c r="N177" s="265"/>
      <c r="O177" s="265"/>
      <c r="P177" s="265"/>
      <c r="Q177" s="264"/>
      <c r="R177" s="264"/>
      <c r="S177" s="264"/>
      <c r="T177" s="264"/>
      <c r="U177" s="268"/>
      <c r="V177" s="269"/>
      <c r="W177" s="268"/>
      <c r="X177" s="270"/>
      <c r="Y177" s="269"/>
      <c r="Z177" s="269"/>
      <c r="AA177" s="264"/>
      <c r="AB177" s="264"/>
      <c r="AC177" s="264"/>
      <c r="AD177" s="264"/>
      <c r="AE177" s="264"/>
      <c r="AF177" s="264"/>
      <c r="AG177" s="269"/>
      <c r="AH177" s="268"/>
      <c r="AI177" s="264"/>
      <c r="AJ177" s="264"/>
      <c r="AK177" s="264"/>
      <c r="AL177" s="264"/>
      <c r="AM177" s="264"/>
      <c r="AN177" s="264"/>
      <c r="AO177" s="264"/>
      <c r="AP177" s="264"/>
      <c r="AQ177" s="264"/>
      <c r="AR177" s="264"/>
      <c r="AS177" s="264"/>
      <c r="AT177" s="264"/>
      <c r="AU177" s="264"/>
      <c r="AV177" s="264"/>
      <c r="AW177" s="264"/>
      <c r="AX177" s="264"/>
      <c r="AY177" s="264"/>
      <c r="AZ177" s="264"/>
      <c r="BA177" s="264"/>
      <c r="BB177" s="270"/>
      <c r="BC177" s="270"/>
      <c r="BD177" s="270"/>
      <c r="BE177" s="270"/>
      <c r="BF177" s="264"/>
      <c r="BG177" s="264"/>
      <c r="BH177" s="265"/>
      <c r="BI177" s="265"/>
      <c r="BJ177" s="265"/>
      <c r="BK177" s="265"/>
      <c r="BL177" s="265"/>
      <c r="BM177" s="265"/>
      <c r="BN177" s="265"/>
      <c r="BO177" s="265"/>
      <c r="BP177" s="263"/>
      <c r="BQ177" s="263"/>
    </row>
    <row r="178" spans="3:69" x14ac:dyDescent="0.25">
      <c r="C178" s="9"/>
      <c r="D178" s="279"/>
      <c r="E178" s="278"/>
      <c r="F178" s="141"/>
      <c r="H178" s="265"/>
      <c r="I178" s="275"/>
      <c r="J178" s="265"/>
      <c r="K178" s="265"/>
      <c r="L178" s="265"/>
      <c r="M178" s="265"/>
      <c r="N178" s="265"/>
      <c r="O178" s="265"/>
      <c r="P178" s="265"/>
      <c r="Q178" s="264"/>
      <c r="R178" s="264"/>
      <c r="S178" s="264"/>
      <c r="T178" s="264"/>
      <c r="U178" s="268"/>
      <c r="V178" s="269"/>
      <c r="W178" s="268"/>
      <c r="X178" s="270"/>
      <c r="Y178" s="269"/>
      <c r="Z178" s="269"/>
      <c r="AA178" s="264"/>
      <c r="AB178" s="264"/>
      <c r="AC178" s="264"/>
      <c r="AD178" s="264"/>
      <c r="AE178" s="264"/>
      <c r="AF178" s="264"/>
      <c r="AG178" s="269"/>
      <c r="AH178" s="268"/>
      <c r="AI178" s="264"/>
      <c r="AJ178" s="264"/>
      <c r="AK178" s="264"/>
      <c r="AL178" s="264"/>
      <c r="AM178" s="264"/>
      <c r="AN178" s="264"/>
      <c r="AO178" s="264"/>
      <c r="AP178" s="264"/>
      <c r="AQ178" s="264"/>
      <c r="AR178" s="264"/>
      <c r="AS178" s="264"/>
      <c r="AT178" s="264"/>
      <c r="AU178" s="264"/>
      <c r="AV178" s="264"/>
      <c r="AW178" s="264"/>
      <c r="AX178" s="264"/>
      <c r="AY178" s="264"/>
      <c r="AZ178" s="264"/>
      <c r="BA178" s="264"/>
      <c r="BB178" s="270"/>
      <c r="BC178" s="270"/>
      <c r="BD178" s="270"/>
      <c r="BE178" s="270"/>
      <c r="BF178" s="264"/>
      <c r="BG178" s="264"/>
      <c r="BH178" s="265"/>
      <c r="BI178" s="265"/>
      <c r="BJ178" s="265"/>
      <c r="BK178" s="265"/>
      <c r="BL178" s="265"/>
      <c r="BM178" s="265"/>
      <c r="BN178" s="265"/>
      <c r="BO178" s="265"/>
      <c r="BP178" s="263"/>
      <c r="BQ178" s="263"/>
    </row>
    <row r="179" spans="3:69" x14ac:dyDescent="0.25">
      <c r="C179" s="9"/>
      <c r="D179" s="279"/>
      <c r="E179" s="278"/>
      <c r="F179" s="141"/>
      <c r="G179" s="9"/>
      <c r="H179" s="265"/>
      <c r="I179" s="275"/>
      <c r="J179" s="265"/>
      <c r="K179" s="265"/>
      <c r="L179" s="265"/>
      <c r="M179" s="265"/>
      <c r="N179" s="265"/>
      <c r="O179" s="265"/>
      <c r="P179" s="265"/>
      <c r="Q179" s="264"/>
      <c r="R179" s="264"/>
      <c r="S179" s="264"/>
      <c r="T179" s="264"/>
      <c r="U179" s="268"/>
      <c r="V179" s="269"/>
      <c r="W179" s="268"/>
      <c r="X179" s="270"/>
      <c r="Y179" s="269"/>
      <c r="Z179" s="269"/>
      <c r="AA179" s="264"/>
      <c r="AB179" s="264"/>
      <c r="AC179" s="264"/>
      <c r="AD179" s="264"/>
      <c r="AE179" s="264"/>
      <c r="AF179" s="264"/>
      <c r="AG179" s="269"/>
      <c r="AH179" s="268"/>
      <c r="AI179" s="264"/>
      <c r="AJ179" s="264"/>
      <c r="AK179" s="264"/>
      <c r="AL179" s="264"/>
      <c r="AM179" s="264"/>
      <c r="AN179" s="264"/>
      <c r="AO179" s="264"/>
      <c r="AP179" s="264"/>
      <c r="AQ179" s="264"/>
      <c r="AR179" s="264"/>
      <c r="AS179" s="264"/>
      <c r="AT179" s="264"/>
      <c r="AU179" s="264"/>
      <c r="AV179" s="264"/>
      <c r="AW179" s="264"/>
      <c r="AX179" s="264"/>
      <c r="AY179" s="264"/>
      <c r="AZ179" s="264"/>
      <c r="BA179" s="264"/>
      <c r="BB179" s="270"/>
      <c r="BC179" s="270"/>
      <c r="BD179" s="270"/>
      <c r="BE179" s="270"/>
      <c r="BF179" s="264"/>
      <c r="BG179" s="264"/>
      <c r="BH179" s="265"/>
      <c r="BI179" s="265"/>
      <c r="BJ179" s="265"/>
      <c r="BK179" s="265"/>
      <c r="BL179" s="265"/>
      <c r="BM179" s="265"/>
      <c r="BN179" s="265"/>
      <c r="BO179" s="265"/>
      <c r="BP179" s="263"/>
      <c r="BQ179" s="263"/>
    </row>
    <row r="180" spans="3:69" x14ac:dyDescent="0.25">
      <c r="C180" s="9"/>
      <c r="D180" s="279"/>
      <c r="E180" s="278"/>
      <c r="F180" s="141"/>
      <c r="G180" s="9"/>
      <c r="H180" s="265"/>
      <c r="I180" s="275"/>
      <c r="J180" s="265"/>
      <c r="K180" s="265"/>
      <c r="L180" s="265"/>
      <c r="M180" s="265"/>
      <c r="N180" s="265"/>
      <c r="O180" s="265"/>
      <c r="P180" s="265"/>
      <c r="Q180" s="264"/>
      <c r="R180" s="264"/>
      <c r="S180" s="264"/>
      <c r="T180" s="264"/>
      <c r="U180" s="268"/>
      <c r="V180" s="269"/>
      <c r="W180" s="268"/>
      <c r="X180" s="270"/>
      <c r="Y180" s="269"/>
      <c r="Z180" s="269"/>
      <c r="AA180" s="264"/>
      <c r="AB180" s="264"/>
      <c r="AC180" s="264"/>
      <c r="AD180" s="264"/>
      <c r="AE180" s="264"/>
      <c r="AF180" s="264"/>
      <c r="AG180" s="269"/>
      <c r="AH180" s="268"/>
      <c r="AI180" s="264"/>
      <c r="AJ180" s="264"/>
      <c r="AK180" s="264"/>
      <c r="AL180" s="264"/>
      <c r="AM180" s="264"/>
      <c r="AN180" s="264"/>
      <c r="AO180" s="264"/>
      <c r="AP180" s="264"/>
      <c r="AQ180" s="264"/>
      <c r="AR180" s="264"/>
      <c r="AS180" s="264"/>
      <c r="AT180" s="264"/>
      <c r="AU180" s="264"/>
      <c r="AV180" s="264"/>
      <c r="AW180" s="264"/>
      <c r="AX180" s="264"/>
      <c r="AY180" s="264"/>
      <c r="AZ180" s="264"/>
      <c r="BA180" s="264"/>
      <c r="BB180" s="270"/>
      <c r="BC180" s="270"/>
      <c r="BD180" s="270"/>
      <c r="BE180" s="270"/>
      <c r="BF180" s="264"/>
      <c r="BG180" s="264"/>
      <c r="BH180" s="265"/>
      <c r="BI180" s="265"/>
      <c r="BJ180" s="265"/>
      <c r="BK180" s="265"/>
      <c r="BL180" s="265"/>
      <c r="BM180" s="265"/>
      <c r="BN180" s="265"/>
      <c r="BO180" s="265"/>
      <c r="BP180" s="263"/>
      <c r="BQ180" s="263"/>
    </row>
    <row r="181" spans="3:69" x14ac:dyDescent="0.25">
      <c r="C181" s="9"/>
      <c r="D181" s="279"/>
      <c r="E181" s="278"/>
      <c r="F181" s="141"/>
      <c r="G181" s="9"/>
      <c r="H181" s="265"/>
      <c r="I181" s="275"/>
      <c r="J181" s="265"/>
      <c r="K181" s="265"/>
      <c r="L181" s="265"/>
      <c r="M181" s="265"/>
      <c r="N181" s="265"/>
      <c r="O181" s="265"/>
      <c r="P181" s="265"/>
      <c r="Q181" s="264"/>
      <c r="R181" s="264"/>
      <c r="S181" s="264"/>
      <c r="T181" s="264"/>
      <c r="U181" s="268"/>
      <c r="V181" s="269"/>
      <c r="W181" s="268"/>
      <c r="X181" s="270"/>
      <c r="Y181" s="269"/>
      <c r="Z181" s="269"/>
      <c r="AA181" s="264"/>
      <c r="AB181" s="264"/>
      <c r="AC181" s="264"/>
      <c r="AD181" s="264"/>
      <c r="AE181" s="264"/>
      <c r="AF181" s="264"/>
      <c r="AG181" s="269"/>
      <c r="AH181" s="268"/>
      <c r="AI181" s="264"/>
      <c r="AJ181" s="264"/>
      <c r="AK181" s="264"/>
      <c r="AL181" s="264"/>
      <c r="AM181" s="264"/>
      <c r="AN181" s="264"/>
      <c r="AO181" s="264"/>
      <c r="AP181" s="264"/>
      <c r="AQ181" s="264"/>
      <c r="AR181" s="264"/>
      <c r="AS181" s="264"/>
      <c r="AT181" s="264"/>
      <c r="AU181" s="264"/>
      <c r="AV181" s="264"/>
      <c r="AW181" s="264"/>
      <c r="AX181" s="264"/>
      <c r="AY181" s="264"/>
      <c r="AZ181" s="264"/>
      <c r="BA181" s="264"/>
      <c r="BB181" s="270"/>
      <c r="BC181" s="270"/>
      <c r="BD181" s="270"/>
      <c r="BE181" s="270"/>
      <c r="BF181" s="264"/>
      <c r="BG181" s="264"/>
      <c r="BH181" s="265"/>
      <c r="BI181" s="265"/>
      <c r="BJ181" s="265"/>
      <c r="BK181" s="265"/>
      <c r="BL181" s="265"/>
      <c r="BM181" s="265"/>
      <c r="BN181" s="265"/>
      <c r="BO181" s="265"/>
      <c r="BP181" s="263"/>
      <c r="BQ181" s="263"/>
    </row>
    <row r="182" spans="3:69" x14ac:dyDescent="0.25">
      <c r="C182" s="9"/>
      <c r="D182" s="278"/>
      <c r="E182" s="278"/>
      <c r="F182" s="141"/>
      <c r="G182" s="9"/>
      <c r="H182" s="265"/>
      <c r="I182" s="275"/>
      <c r="J182" s="265"/>
      <c r="K182" s="265"/>
      <c r="L182" s="265"/>
      <c r="M182" s="265"/>
      <c r="N182" s="265"/>
      <c r="O182" s="265"/>
      <c r="P182" s="265"/>
      <c r="Q182" s="264"/>
      <c r="R182" s="264"/>
      <c r="S182" s="264"/>
      <c r="T182" s="264"/>
      <c r="U182" s="268"/>
      <c r="V182" s="269"/>
      <c r="W182" s="268"/>
      <c r="X182" s="270"/>
      <c r="Y182" s="269"/>
      <c r="Z182" s="269"/>
      <c r="AA182" s="264"/>
      <c r="AB182" s="264"/>
      <c r="AC182" s="264"/>
      <c r="AD182" s="264"/>
      <c r="AE182" s="264"/>
      <c r="AF182" s="264"/>
      <c r="AG182" s="269"/>
      <c r="AH182" s="268"/>
      <c r="AI182" s="264"/>
      <c r="AJ182" s="264"/>
      <c r="AK182" s="264"/>
      <c r="AL182" s="264"/>
      <c r="AM182" s="264"/>
      <c r="AN182" s="264"/>
      <c r="AO182" s="264"/>
      <c r="AP182" s="264"/>
      <c r="AQ182" s="264"/>
      <c r="AR182" s="264"/>
      <c r="AS182" s="264"/>
      <c r="AT182" s="264"/>
      <c r="AU182" s="264"/>
      <c r="AV182" s="264"/>
      <c r="AW182" s="264"/>
      <c r="AX182" s="264"/>
      <c r="AY182" s="264"/>
      <c r="AZ182" s="264"/>
      <c r="BA182" s="264"/>
      <c r="BB182" s="270"/>
      <c r="BC182" s="270"/>
      <c r="BD182" s="270"/>
      <c r="BE182" s="270"/>
      <c r="BF182" s="264"/>
      <c r="BG182" s="264"/>
      <c r="BH182" s="265"/>
      <c r="BI182" s="265"/>
      <c r="BJ182" s="265"/>
      <c r="BK182" s="265"/>
      <c r="BL182" s="265"/>
      <c r="BM182" s="265"/>
      <c r="BN182" s="265"/>
      <c r="BO182" s="265"/>
      <c r="BP182" s="263"/>
      <c r="BQ182" s="263"/>
    </row>
    <row r="183" spans="3:69" x14ac:dyDescent="0.25">
      <c r="C183" s="9"/>
      <c r="D183" s="278"/>
      <c r="E183" s="278"/>
      <c r="F183" s="141"/>
      <c r="G183" s="9"/>
      <c r="H183" s="265"/>
      <c r="I183" s="275"/>
      <c r="J183" s="265"/>
      <c r="K183" s="265"/>
      <c r="L183" s="265"/>
      <c r="M183" s="265"/>
      <c r="N183" s="265"/>
      <c r="O183" s="265"/>
      <c r="P183" s="265"/>
      <c r="Q183" s="264"/>
      <c r="R183" s="264"/>
      <c r="S183" s="264"/>
      <c r="T183" s="264"/>
      <c r="U183" s="268"/>
      <c r="V183" s="269"/>
      <c r="W183" s="268"/>
      <c r="X183" s="270"/>
      <c r="Y183" s="269"/>
      <c r="Z183" s="269"/>
      <c r="AA183" s="264"/>
      <c r="AB183" s="264"/>
      <c r="AC183" s="264"/>
      <c r="AD183" s="264"/>
      <c r="AE183" s="264"/>
      <c r="AF183" s="264"/>
      <c r="AG183" s="269"/>
      <c r="AH183" s="268"/>
      <c r="AI183" s="264"/>
      <c r="AJ183" s="264"/>
      <c r="AK183" s="264"/>
      <c r="AL183" s="264"/>
      <c r="AM183" s="264"/>
      <c r="AN183" s="264"/>
      <c r="AO183" s="264"/>
      <c r="AP183" s="264"/>
      <c r="AQ183" s="264"/>
      <c r="AR183" s="264"/>
      <c r="AS183" s="264"/>
      <c r="AT183" s="264"/>
      <c r="AU183" s="264"/>
      <c r="AV183" s="264"/>
      <c r="AW183" s="264"/>
      <c r="AX183" s="264"/>
      <c r="AY183" s="264"/>
      <c r="AZ183" s="264"/>
      <c r="BA183" s="264"/>
      <c r="BB183" s="270"/>
      <c r="BC183" s="270"/>
      <c r="BD183" s="270"/>
      <c r="BE183" s="270"/>
      <c r="BF183" s="264"/>
      <c r="BG183" s="264"/>
      <c r="BH183" s="265"/>
      <c r="BI183" s="265"/>
      <c r="BJ183" s="265"/>
      <c r="BK183" s="265"/>
      <c r="BL183" s="265"/>
      <c r="BM183" s="265"/>
      <c r="BN183" s="265"/>
      <c r="BO183" s="265"/>
      <c r="BP183" s="263"/>
      <c r="BQ183" s="263"/>
    </row>
    <row r="184" spans="3:69" x14ac:dyDescent="0.25">
      <c r="C184" s="9"/>
      <c r="D184" s="278"/>
      <c r="E184" s="278"/>
      <c r="F184" s="141"/>
      <c r="G184" s="9"/>
      <c r="H184" s="265"/>
      <c r="I184" s="275"/>
      <c r="J184" s="265"/>
      <c r="K184" s="265"/>
      <c r="L184" s="265"/>
      <c r="M184" s="265"/>
      <c r="N184" s="265"/>
      <c r="O184" s="265"/>
      <c r="P184" s="265"/>
      <c r="Q184" s="264"/>
      <c r="R184" s="264"/>
      <c r="S184" s="264"/>
      <c r="T184" s="264"/>
      <c r="U184" s="268"/>
      <c r="V184" s="269"/>
      <c r="W184" s="268"/>
      <c r="X184" s="270"/>
      <c r="Y184" s="269"/>
      <c r="Z184" s="269"/>
      <c r="AA184" s="264"/>
      <c r="AB184" s="264"/>
      <c r="AC184" s="264"/>
      <c r="AD184" s="264"/>
      <c r="AE184" s="264"/>
      <c r="AF184" s="264"/>
      <c r="AG184" s="269"/>
      <c r="AH184" s="268"/>
      <c r="AI184" s="264"/>
      <c r="AJ184" s="264"/>
      <c r="AK184" s="264"/>
      <c r="AL184" s="264"/>
      <c r="AM184" s="264"/>
      <c r="AN184" s="264"/>
      <c r="AO184" s="264"/>
      <c r="AP184" s="264"/>
      <c r="AQ184" s="264"/>
      <c r="AR184" s="264"/>
      <c r="AS184" s="264"/>
      <c r="AT184" s="264"/>
      <c r="AU184" s="264"/>
      <c r="AV184" s="264"/>
      <c r="AW184" s="264"/>
      <c r="AX184" s="264"/>
      <c r="AY184" s="264"/>
      <c r="AZ184" s="264"/>
      <c r="BA184" s="264"/>
      <c r="BB184" s="270"/>
      <c r="BC184" s="270"/>
      <c r="BD184" s="270"/>
      <c r="BE184" s="270"/>
      <c r="BF184" s="264"/>
      <c r="BG184" s="264"/>
      <c r="BH184" s="265"/>
      <c r="BI184" s="265"/>
      <c r="BJ184" s="265"/>
      <c r="BK184" s="265"/>
      <c r="BL184" s="265"/>
      <c r="BM184" s="265"/>
      <c r="BN184" s="265"/>
      <c r="BO184" s="265"/>
      <c r="BP184" s="263"/>
      <c r="BQ184" s="263"/>
    </row>
    <row r="185" spans="3:69" x14ac:dyDescent="0.25">
      <c r="C185" s="9"/>
      <c r="D185" s="278"/>
      <c r="E185" s="278"/>
      <c r="F185" s="141"/>
      <c r="G185" s="9"/>
      <c r="H185" s="265"/>
      <c r="I185" s="275"/>
      <c r="J185" s="265"/>
      <c r="K185" s="265"/>
      <c r="L185" s="265"/>
      <c r="M185" s="265"/>
      <c r="N185" s="265"/>
      <c r="O185" s="265"/>
      <c r="P185" s="265"/>
      <c r="Q185" s="264"/>
      <c r="R185" s="264"/>
      <c r="S185" s="264"/>
      <c r="T185" s="264"/>
      <c r="U185" s="268"/>
      <c r="V185" s="269"/>
      <c r="W185" s="268"/>
      <c r="X185" s="270"/>
      <c r="Y185" s="269"/>
      <c r="Z185" s="269"/>
      <c r="AA185" s="264"/>
      <c r="AB185" s="264"/>
      <c r="AC185" s="264"/>
      <c r="AD185" s="264"/>
      <c r="AE185" s="264"/>
      <c r="AF185" s="264"/>
      <c r="AG185" s="269"/>
      <c r="AH185" s="268"/>
      <c r="AI185" s="264"/>
      <c r="AJ185" s="264"/>
      <c r="AK185" s="264"/>
      <c r="AL185" s="264"/>
      <c r="AM185" s="264"/>
      <c r="AN185" s="264"/>
      <c r="AO185" s="264"/>
      <c r="AP185" s="264"/>
      <c r="AQ185" s="264"/>
      <c r="AR185" s="264"/>
      <c r="AS185" s="264"/>
      <c r="AT185" s="264"/>
      <c r="AU185" s="264"/>
      <c r="AV185" s="264"/>
      <c r="AW185" s="264"/>
      <c r="AX185" s="264"/>
      <c r="AY185" s="264"/>
      <c r="AZ185" s="264"/>
      <c r="BA185" s="264"/>
      <c r="BB185" s="270"/>
      <c r="BC185" s="270"/>
      <c r="BD185" s="270"/>
      <c r="BE185" s="270"/>
      <c r="BF185" s="264"/>
      <c r="BG185" s="264"/>
      <c r="BH185" s="265"/>
      <c r="BI185" s="265"/>
      <c r="BJ185" s="265"/>
      <c r="BK185" s="265"/>
      <c r="BL185" s="265"/>
      <c r="BM185" s="265"/>
      <c r="BN185" s="265"/>
      <c r="BO185" s="265"/>
      <c r="BP185" s="263"/>
      <c r="BQ185" s="263"/>
    </row>
    <row r="186" spans="3:69" x14ac:dyDescent="0.25">
      <c r="C186" s="9"/>
      <c r="D186" s="9"/>
      <c r="E186" s="9"/>
      <c r="G186" s="9"/>
      <c r="H186" s="265"/>
      <c r="I186" s="275"/>
      <c r="J186" s="265"/>
      <c r="K186" s="265"/>
      <c r="L186" s="265"/>
      <c r="M186" s="265"/>
      <c r="N186" s="265"/>
      <c r="O186" s="265"/>
      <c r="P186" s="265"/>
      <c r="Q186" s="264"/>
      <c r="R186" s="264"/>
      <c r="S186" s="264"/>
      <c r="T186" s="264"/>
      <c r="U186" s="268"/>
      <c r="V186" s="269"/>
      <c r="W186" s="268"/>
      <c r="X186" s="270"/>
      <c r="Y186" s="269"/>
      <c r="Z186" s="269"/>
      <c r="AA186" s="264"/>
      <c r="AB186" s="264"/>
      <c r="AC186" s="264"/>
      <c r="AD186" s="264"/>
      <c r="AE186" s="264"/>
      <c r="AF186" s="264"/>
      <c r="AG186" s="269"/>
      <c r="AH186" s="268"/>
      <c r="AI186" s="264"/>
      <c r="AJ186" s="264"/>
      <c r="AK186" s="264"/>
      <c r="AL186" s="264"/>
      <c r="AM186" s="264"/>
      <c r="AN186" s="264"/>
      <c r="AO186" s="264"/>
      <c r="AP186" s="264"/>
      <c r="AQ186" s="264"/>
      <c r="AR186" s="264"/>
      <c r="AS186" s="264"/>
      <c r="AT186" s="264"/>
      <c r="AU186" s="264"/>
      <c r="AV186" s="264"/>
      <c r="AW186" s="264"/>
      <c r="AX186" s="264"/>
      <c r="AY186" s="264"/>
      <c r="AZ186" s="264"/>
      <c r="BA186" s="264"/>
      <c r="BB186" s="270"/>
      <c r="BC186" s="270"/>
      <c r="BD186" s="270"/>
      <c r="BE186" s="270"/>
      <c r="BF186" s="264"/>
      <c r="BG186" s="264"/>
      <c r="BH186" s="265"/>
      <c r="BI186" s="265"/>
      <c r="BJ186" s="265"/>
      <c r="BK186" s="265"/>
      <c r="BL186" s="265"/>
      <c r="BM186" s="265"/>
      <c r="BN186" s="265"/>
      <c r="BO186" s="265"/>
      <c r="BP186" s="263"/>
      <c r="BQ186" s="263"/>
    </row>
    <row r="187" spans="3:69" x14ac:dyDescent="0.25">
      <c r="C187" s="9"/>
      <c r="D187" s="9"/>
      <c r="E187" s="9"/>
      <c r="G187" s="9"/>
      <c r="H187" s="265"/>
      <c r="I187" s="275"/>
      <c r="J187" s="265"/>
      <c r="K187" s="265"/>
      <c r="L187" s="265"/>
      <c r="M187" s="265"/>
      <c r="N187" s="265"/>
      <c r="O187" s="265"/>
      <c r="P187" s="265"/>
      <c r="Q187" s="264"/>
      <c r="R187" s="264"/>
      <c r="S187" s="264"/>
      <c r="T187" s="264"/>
      <c r="U187" s="268"/>
      <c r="V187" s="269"/>
      <c r="W187" s="268"/>
      <c r="X187" s="270"/>
      <c r="Y187" s="269"/>
      <c r="Z187" s="269"/>
      <c r="AA187" s="264"/>
      <c r="AB187" s="264"/>
      <c r="AC187" s="264"/>
      <c r="AD187" s="264"/>
      <c r="AE187" s="264"/>
      <c r="AF187" s="264"/>
      <c r="AG187" s="269"/>
      <c r="AH187" s="268"/>
      <c r="AI187" s="264"/>
      <c r="AJ187" s="264"/>
      <c r="AK187" s="264"/>
      <c r="AL187" s="264"/>
      <c r="AM187" s="264"/>
      <c r="AN187" s="264"/>
      <c r="AO187" s="264"/>
      <c r="AP187" s="264"/>
      <c r="AQ187" s="264"/>
      <c r="AR187" s="264"/>
      <c r="AS187" s="264"/>
      <c r="AT187" s="264"/>
      <c r="AU187" s="264"/>
      <c r="AV187" s="264"/>
      <c r="AW187" s="264"/>
      <c r="AX187" s="264"/>
      <c r="AY187" s="264"/>
      <c r="AZ187" s="264"/>
      <c r="BA187" s="264"/>
      <c r="BB187" s="270"/>
      <c r="BC187" s="270"/>
      <c r="BD187" s="270"/>
      <c r="BE187" s="270"/>
      <c r="BF187" s="264"/>
      <c r="BG187" s="264"/>
      <c r="BH187" s="265"/>
      <c r="BI187" s="265"/>
      <c r="BJ187" s="265"/>
      <c r="BK187" s="265"/>
      <c r="BL187" s="265"/>
      <c r="BM187" s="265"/>
      <c r="BN187" s="265"/>
      <c r="BO187" s="265"/>
      <c r="BP187" s="263"/>
      <c r="BQ187" s="263"/>
    </row>
    <row r="188" spans="3:69" x14ac:dyDescent="0.25">
      <c r="C188" s="9"/>
      <c r="D188" s="9"/>
      <c r="E188" s="9"/>
      <c r="G188" s="9"/>
      <c r="H188" s="265"/>
      <c r="I188" s="275"/>
      <c r="J188" s="265"/>
      <c r="K188" s="265"/>
      <c r="L188" s="265"/>
      <c r="M188" s="265"/>
      <c r="N188" s="265"/>
      <c r="O188" s="265"/>
      <c r="P188" s="265"/>
      <c r="Q188" s="264"/>
      <c r="R188" s="264"/>
      <c r="S188" s="264"/>
      <c r="T188" s="264"/>
      <c r="U188" s="268"/>
      <c r="V188" s="269"/>
      <c r="W188" s="268"/>
      <c r="X188" s="270"/>
      <c r="Y188" s="269"/>
      <c r="Z188" s="269"/>
      <c r="AA188" s="264"/>
      <c r="AB188" s="264"/>
      <c r="AC188" s="264"/>
      <c r="AD188" s="264"/>
      <c r="AE188" s="264"/>
      <c r="AF188" s="264"/>
      <c r="AG188" s="269"/>
      <c r="AH188" s="268"/>
      <c r="AI188" s="264"/>
      <c r="AJ188" s="264"/>
      <c r="AK188" s="264"/>
      <c r="AL188" s="264"/>
      <c r="AM188" s="264"/>
      <c r="AN188" s="264"/>
      <c r="AO188" s="264"/>
      <c r="AP188" s="264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70"/>
      <c r="BC188" s="270"/>
      <c r="BD188" s="270"/>
      <c r="BE188" s="270"/>
      <c r="BF188" s="264"/>
      <c r="BG188" s="264"/>
      <c r="BH188" s="265"/>
      <c r="BI188" s="265"/>
      <c r="BJ188" s="265"/>
      <c r="BK188" s="265"/>
      <c r="BL188" s="265"/>
      <c r="BM188" s="265"/>
      <c r="BN188" s="265"/>
      <c r="BO188" s="265"/>
      <c r="BP188" s="263"/>
      <c r="BQ188" s="263"/>
    </row>
    <row r="189" spans="3:69" x14ac:dyDescent="0.25">
      <c r="G189" s="9"/>
      <c r="H189" s="265"/>
      <c r="I189" s="275"/>
      <c r="J189" s="265"/>
      <c r="K189" s="265"/>
      <c r="L189" s="265"/>
      <c r="M189" s="265"/>
      <c r="N189" s="265"/>
      <c r="O189" s="265"/>
      <c r="P189" s="265"/>
      <c r="Q189" s="264"/>
      <c r="R189" s="264"/>
      <c r="S189" s="264"/>
      <c r="T189" s="264"/>
      <c r="U189" s="268"/>
      <c r="V189" s="269"/>
      <c r="W189" s="268"/>
      <c r="X189" s="270"/>
      <c r="Y189" s="269"/>
      <c r="Z189" s="269"/>
      <c r="AA189" s="264"/>
      <c r="AB189" s="264"/>
      <c r="AC189" s="264"/>
      <c r="AD189" s="264"/>
      <c r="AE189" s="264"/>
      <c r="AF189" s="264"/>
      <c r="AG189" s="269"/>
      <c r="AH189" s="268"/>
      <c r="AI189" s="264"/>
      <c r="AJ189" s="264"/>
      <c r="AK189" s="264"/>
      <c r="AL189" s="264"/>
      <c r="AM189" s="264"/>
      <c r="AN189" s="264"/>
      <c r="AO189" s="264"/>
      <c r="AP189" s="264"/>
      <c r="AQ189" s="264"/>
      <c r="AR189" s="264"/>
      <c r="AS189" s="264"/>
      <c r="AT189" s="264"/>
      <c r="AU189" s="264"/>
      <c r="AV189" s="264"/>
      <c r="AW189" s="264"/>
      <c r="AX189" s="264"/>
      <c r="AY189" s="264"/>
      <c r="AZ189" s="264"/>
      <c r="BA189" s="264"/>
      <c r="BB189" s="270"/>
      <c r="BC189" s="270"/>
      <c r="BD189" s="270"/>
      <c r="BE189" s="270"/>
      <c r="BF189" s="264"/>
      <c r="BG189" s="264"/>
      <c r="BH189" s="265"/>
      <c r="BI189" s="265"/>
      <c r="BJ189" s="265"/>
      <c r="BK189" s="265"/>
      <c r="BL189" s="265"/>
      <c r="BM189" s="265"/>
      <c r="BN189" s="265"/>
      <c r="BO189" s="265"/>
      <c r="BP189" s="263"/>
      <c r="BQ189" s="263"/>
    </row>
    <row r="190" spans="3:69" x14ac:dyDescent="0.25">
      <c r="G190" s="9"/>
      <c r="H190" s="265"/>
      <c r="I190" s="275"/>
      <c r="J190" s="265"/>
      <c r="K190" s="265"/>
      <c r="L190" s="265"/>
      <c r="M190" s="265"/>
      <c r="N190" s="265"/>
      <c r="O190" s="265"/>
      <c r="P190" s="265"/>
      <c r="Q190" s="264"/>
      <c r="R190" s="264"/>
      <c r="S190" s="264"/>
      <c r="T190" s="264"/>
      <c r="U190" s="268"/>
      <c r="V190" s="269"/>
      <c r="W190" s="268"/>
      <c r="X190" s="270"/>
      <c r="Y190" s="269"/>
      <c r="Z190" s="269"/>
      <c r="AA190" s="264"/>
      <c r="AB190" s="264"/>
      <c r="AC190" s="264"/>
      <c r="AD190" s="264"/>
      <c r="AE190" s="264"/>
      <c r="AF190" s="264"/>
      <c r="AG190" s="269"/>
      <c r="AH190" s="268"/>
      <c r="AI190" s="264"/>
      <c r="AJ190" s="264"/>
      <c r="AK190" s="264"/>
      <c r="AL190" s="264"/>
      <c r="AM190" s="264"/>
      <c r="AN190" s="264"/>
      <c r="AO190" s="264"/>
      <c r="AP190" s="264"/>
      <c r="AQ190" s="264"/>
      <c r="AR190" s="264"/>
      <c r="AS190" s="264"/>
      <c r="AT190" s="264"/>
      <c r="AU190" s="264"/>
      <c r="AV190" s="264"/>
      <c r="AW190" s="264"/>
      <c r="AX190" s="264"/>
      <c r="AY190" s="264"/>
      <c r="AZ190" s="264"/>
      <c r="BA190" s="264"/>
      <c r="BB190" s="270"/>
      <c r="BC190" s="270"/>
      <c r="BD190" s="270"/>
      <c r="BE190" s="270"/>
      <c r="BF190" s="264"/>
      <c r="BG190" s="264"/>
      <c r="BH190" s="265"/>
      <c r="BI190" s="265"/>
      <c r="BJ190" s="265"/>
      <c r="BK190" s="265"/>
      <c r="BL190" s="265"/>
      <c r="BM190" s="265"/>
      <c r="BN190" s="265"/>
      <c r="BO190" s="265"/>
      <c r="BP190" s="263"/>
      <c r="BQ190" s="263"/>
    </row>
    <row r="191" spans="3:69" x14ac:dyDescent="0.25">
      <c r="G191" s="9"/>
      <c r="H191" s="265"/>
      <c r="I191" s="275"/>
      <c r="J191" s="265"/>
      <c r="K191" s="265"/>
      <c r="L191" s="265"/>
      <c r="M191" s="265"/>
      <c r="N191" s="265"/>
      <c r="O191" s="265"/>
      <c r="P191" s="265"/>
      <c r="Q191" s="264"/>
      <c r="R191" s="264"/>
      <c r="S191" s="264"/>
      <c r="T191" s="264"/>
      <c r="U191" s="268"/>
      <c r="V191" s="269"/>
      <c r="W191" s="268"/>
      <c r="X191" s="270"/>
      <c r="Y191" s="269"/>
      <c r="Z191" s="269"/>
      <c r="AA191" s="264"/>
      <c r="AB191" s="264"/>
      <c r="AC191" s="264"/>
      <c r="AD191" s="264"/>
      <c r="AE191" s="264"/>
      <c r="AF191" s="264"/>
      <c r="AG191" s="269"/>
      <c r="AH191" s="268"/>
      <c r="AI191" s="264"/>
      <c r="AJ191" s="264"/>
      <c r="AK191" s="264"/>
      <c r="AL191" s="264"/>
      <c r="AM191" s="264"/>
      <c r="AN191" s="264"/>
      <c r="AO191" s="264"/>
      <c r="AP191" s="264"/>
      <c r="AQ191" s="264"/>
      <c r="AR191" s="264"/>
      <c r="AS191" s="264"/>
      <c r="AT191" s="264"/>
      <c r="AU191" s="264"/>
      <c r="AV191" s="264"/>
      <c r="AW191" s="264"/>
      <c r="AX191" s="264"/>
      <c r="AY191" s="264"/>
      <c r="AZ191" s="264"/>
      <c r="BA191" s="264"/>
      <c r="BB191" s="270"/>
      <c r="BC191" s="270"/>
      <c r="BD191" s="270"/>
      <c r="BE191" s="270"/>
      <c r="BF191" s="264"/>
      <c r="BG191" s="264"/>
      <c r="BH191" s="265"/>
      <c r="BI191" s="265"/>
      <c r="BJ191" s="265"/>
      <c r="BK191" s="265"/>
      <c r="BL191" s="265"/>
      <c r="BM191" s="265"/>
      <c r="BN191" s="265"/>
      <c r="BO191" s="265"/>
      <c r="BP191" s="263"/>
      <c r="BQ191" s="263"/>
    </row>
    <row r="192" spans="3:69" x14ac:dyDescent="0.25">
      <c r="G192" s="9"/>
      <c r="H192" s="265"/>
      <c r="I192" s="275"/>
      <c r="J192" s="265"/>
      <c r="K192" s="265"/>
      <c r="L192" s="265"/>
      <c r="M192" s="265"/>
      <c r="N192" s="265"/>
      <c r="O192" s="265"/>
      <c r="P192" s="265"/>
      <c r="Q192" s="264"/>
      <c r="R192" s="264"/>
      <c r="S192" s="264"/>
      <c r="T192" s="264"/>
      <c r="U192" s="268"/>
      <c r="V192" s="269"/>
      <c r="W192" s="268"/>
      <c r="X192" s="270"/>
      <c r="Y192" s="269"/>
      <c r="Z192" s="269"/>
      <c r="AA192" s="264"/>
      <c r="AB192" s="264"/>
      <c r="AC192" s="264"/>
      <c r="AD192" s="264"/>
      <c r="AE192" s="264"/>
      <c r="AF192" s="264"/>
      <c r="AG192" s="269"/>
      <c r="AH192" s="268"/>
      <c r="AI192" s="264"/>
      <c r="AJ192" s="264"/>
      <c r="AK192" s="264"/>
      <c r="AL192" s="264"/>
      <c r="AM192" s="264"/>
      <c r="AN192" s="264"/>
      <c r="AO192" s="264"/>
      <c r="AP192" s="264"/>
      <c r="AQ192" s="264"/>
      <c r="AR192" s="264"/>
      <c r="AS192" s="264"/>
      <c r="AT192" s="264"/>
      <c r="AU192" s="264"/>
      <c r="AV192" s="264"/>
      <c r="AW192" s="264"/>
      <c r="AX192" s="264"/>
      <c r="AY192" s="264"/>
      <c r="AZ192" s="264"/>
      <c r="BA192" s="264"/>
      <c r="BB192" s="270"/>
      <c r="BC192" s="270"/>
      <c r="BD192" s="270"/>
      <c r="BE192" s="270"/>
      <c r="BF192" s="264"/>
      <c r="BG192" s="264"/>
      <c r="BH192" s="265"/>
      <c r="BI192" s="265"/>
      <c r="BJ192" s="265"/>
      <c r="BK192" s="265"/>
      <c r="BL192" s="265"/>
      <c r="BM192" s="265"/>
      <c r="BN192" s="265"/>
      <c r="BO192" s="265"/>
      <c r="BP192" s="263"/>
      <c r="BQ192" s="263"/>
    </row>
    <row r="193" spans="7:69" x14ac:dyDescent="0.25">
      <c r="G193" s="9"/>
      <c r="H193" s="265"/>
      <c r="I193" s="275"/>
      <c r="J193" s="265"/>
      <c r="K193" s="265"/>
      <c r="L193" s="265"/>
      <c r="M193" s="265"/>
      <c r="N193" s="265"/>
      <c r="O193" s="265"/>
      <c r="P193" s="265"/>
      <c r="Q193" s="264"/>
      <c r="R193" s="264"/>
      <c r="S193" s="264"/>
      <c r="T193" s="264"/>
      <c r="U193" s="268"/>
      <c r="V193" s="269"/>
      <c r="W193" s="268"/>
      <c r="X193" s="270"/>
      <c r="Y193" s="269"/>
      <c r="Z193" s="269"/>
      <c r="AA193" s="264"/>
      <c r="AB193" s="264"/>
      <c r="AC193" s="264"/>
      <c r="AD193" s="264"/>
      <c r="AE193" s="264"/>
      <c r="AF193" s="264"/>
      <c r="AG193" s="269"/>
      <c r="AH193" s="268"/>
      <c r="AI193" s="264"/>
      <c r="AJ193" s="264"/>
      <c r="AK193" s="264"/>
      <c r="AL193" s="264"/>
      <c r="AM193" s="264"/>
      <c r="AN193" s="264"/>
      <c r="AO193" s="264"/>
      <c r="AP193" s="264"/>
      <c r="AQ193" s="264"/>
      <c r="AR193" s="264"/>
      <c r="AS193" s="264"/>
      <c r="AT193" s="264"/>
      <c r="AU193" s="264"/>
      <c r="AV193" s="264"/>
      <c r="AW193" s="264"/>
      <c r="AX193" s="264"/>
      <c r="AY193" s="264"/>
      <c r="AZ193" s="264"/>
      <c r="BA193" s="264"/>
      <c r="BB193" s="270"/>
      <c r="BC193" s="270"/>
      <c r="BD193" s="270"/>
      <c r="BE193" s="270"/>
      <c r="BF193" s="264"/>
      <c r="BG193" s="264"/>
      <c r="BH193" s="265"/>
      <c r="BI193" s="265"/>
      <c r="BJ193" s="265"/>
      <c r="BK193" s="265"/>
      <c r="BL193" s="265"/>
      <c r="BM193" s="265"/>
      <c r="BN193" s="265"/>
      <c r="BO193" s="265"/>
      <c r="BP193" s="263"/>
      <c r="BQ193" s="263"/>
    </row>
    <row r="194" spans="7:69" x14ac:dyDescent="0.25">
      <c r="G194" s="9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  <c r="AG194" s="265"/>
      <c r="AH194" s="265"/>
      <c r="AI194" s="265"/>
      <c r="AJ194" s="265"/>
      <c r="AK194" s="265"/>
      <c r="AL194" s="265"/>
      <c r="AM194" s="265"/>
      <c r="AN194" s="265"/>
      <c r="AO194" s="265"/>
      <c r="AP194" s="265"/>
      <c r="AQ194" s="265"/>
      <c r="AR194" s="265"/>
      <c r="AS194" s="265"/>
      <c r="AT194" s="265"/>
      <c r="AU194" s="265"/>
      <c r="AV194" s="265"/>
      <c r="AW194" s="265"/>
      <c r="AX194" s="265"/>
      <c r="AY194" s="265"/>
      <c r="AZ194" s="265"/>
      <c r="BA194" s="265"/>
      <c r="BB194" s="265"/>
      <c r="BC194" s="265"/>
      <c r="BD194" s="265"/>
      <c r="BE194" s="265"/>
      <c r="BF194" s="265"/>
      <c r="BG194" s="265"/>
      <c r="BH194" s="265"/>
      <c r="BI194" s="265"/>
      <c r="BJ194" s="265"/>
      <c r="BK194" s="265"/>
      <c r="BL194" s="265"/>
      <c r="BM194" s="265"/>
      <c r="BN194" s="265"/>
      <c r="BO194" s="265"/>
      <c r="BP194" s="263"/>
      <c r="BQ194" s="263"/>
    </row>
    <row r="195" spans="7:69" x14ac:dyDescent="0.25">
      <c r="G195" s="9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  <c r="AG195" s="265"/>
      <c r="AH195" s="265"/>
      <c r="AI195" s="265"/>
      <c r="AJ195" s="265"/>
      <c r="AK195" s="265"/>
      <c r="AL195" s="265"/>
      <c r="AM195" s="265"/>
      <c r="AN195" s="265"/>
      <c r="AO195" s="265"/>
      <c r="AP195" s="265"/>
      <c r="AQ195" s="265"/>
      <c r="AR195" s="265"/>
      <c r="AS195" s="265"/>
      <c r="AT195" s="265"/>
      <c r="AU195" s="265"/>
      <c r="AV195" s="265"/>
      <c r="AW195" s="265"/>
      <c r="AX195" s="265"/>
      <c r="AY195" s="265"/>
      <c r="AZ195" s="265"/>
      <c r="BA195" s="265"/>
      <c r="BB195" s="265"/>
      <c r="BC195" s="265"/>
      <c r="BD195" s="265"/>
      <c r="BE195" s="265"/>
      <c r="BF195" s="265"/>
      <c r="BG195" s="265"/>
      <c r="BH195" s="265"/>
      <c r="BI195" s="265"/>
      <c r="BJ195" s="265"/>
      <c r="BK195" s="265"/>
      <c r="BL195" s="265"/>
      <c r="BM195" s="265"/>
      <c r="BN195" s="265"/>
      <c r="BO195" s="265"/>
      <c r="BP195" s="263"/>
      <c r="BQ195" s="263"/>
    </row>
    <row r="196" spans="7:69" x14ac:dyDescent="0.25">
      <c r="G196" s="9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  <c r="AG196" s="265"/>
      <c r="AH196" s="265"/>
      <c r="AI196" s="265"/>
      <c r="AJ196" s="265"/>
      <c r="AK196" s="265"/>
      <c r="AL196" s="265"/>
      <c r="AM196" s="265"/>
      <c r="AN196" s="265"/>
      <c r="AO196" s="265"/>
      <c r="AP196" s="265"/>
      <c r="AQ196" s="265"/>
      <c r="AR196" s="265"/>
      <c r="AS196" s="265"/>
      <c r="AT196" s="265"/>
      <c r="AU196" s="265"/>
      <c r="AV196" s="265"/>
      <c r="AW196" s="265"/>
      <c r="AX196" s="265"/>
      <c r="AY196" s="265"/>
      <c r="AZ196" s="265"/>
      <c r="BA196" s="265"/>
      <c r="BB196" s="265"/>
      <c r="BC196" s="265"/>
      <c r="BD196" s="265"/>
      <c r="BE196" s="265"/>
      <c r="BF196" s="265"/>
      <c r="BG196" s="265"/>
      <c r="BH196" s="265"/>
      <c r="BI196" s="265"/>
      <c r="BJ196" s="265"/>
      <c r="BK196" s="265"/>
      <c r="BL196" s="265"/>
      <c r="BM196" s="265"/>
      <c r="BN196" s="265"/>
      <c r="BO196" s="265"/>
      <c r="BP196" s="263"/>
      <c r="BQ196" s="263"/>
    </row>
    <row r="197" spans="7:69" x14ac:dyDescent="0.25">
      <c r="G197" s="9"/>
      <c r="H197" s="265"/>
      <c r="I197" s="281"/>
      <c r="J197" s="281"/>
      <c r="K197" s="281"/>
      <c r="L197" s="281"/>
      <c r="M197" s="281"/>
      <c r="N197" s="282"/>
      <c r="O197" s="282"/>
      <c r="P197" s="282"/>
      <c r="Q197" s="282"/>
      <c r="R197" s="282"/>
      <c r="S197" s="282"/>
      <c r="T197" s="282"/>
      <c r="U197" s="281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71"/>
      <c r="AF197" s="271"/>
      <c r="AG197" s="281"/>
      <c r="AH197" s="281"/>
      <c r="AI197" s="281"/>
      <c r="AJ197" s="281"/>
      <c r="AK197" s="281"/>
      <c r="AL197" s="281"/>
      <c r="AM197" s="281"/>
      <c r="AN197" s="281"/>
      <c r="AO197" s="271"/>
      <c r="AP197" s="271"/>
      <c r="AQ197" s="281"/>
      <c r="AR197" s="281"/>
      <c r="AS197" s="281"/>
      <c r="AT197" s="281"/>
      <c r="AU197" s="281"/>
      <c r="AV197" s="281"/>
      <c r="AW197" s="281"/>
      <c r="AX197" s="281"/>
      <c r="AY197" s="281"/>
      <c r="AZ197" s="281"/>
      <c r="BA197" s="281"/>
      <c r="BB197" s="281"/>
      <c r="BC197" s="281"/>
      <c r="BD197" s="281"/>
      <c r="BE197" s="281"/>
      <c r="BF197" s="281"/>
      <c r="BG197" s="281"/>
      <c r="BH197" s="265"/>
      <c r="BI197" s="265"/>
      <c r="BJ197" s="265"/>
      <c r="BK197" s="265"/>
      <c r="BL197" s="265"/>
      <c r="BM197" s="265"/>
      <c r="BN197" s="265"/>
      <c r="BO197" s="265"/>
      <c r="BP197" s="263"/>
      <c r="BQ197" s="263"/>
    </row>
    <row r="198" spans="7:69" x14ac:dyDescent="0.25">
      <c r="G198" s="9"/>
      <c r="H198" s="265"/>
      <c r="I198" s="275"/>
      <c r="J198" s="266"/>
      <c r="K198" s="267"/>
      <c r="L198" s="267"/>
      <c r="M198" s="267"/>
      <c r="N198" s="267"/>
      <c r="O198" s="267"/>
      <c r="P198" s="267"/>
      <c r="Q198" s="267"/>
      <c r="R198" s="267"/>
      <c r="S198" s="267"/>
      <c r="T198" s="267"/>
      <c r="U198" s="267"/>
      <c r="V198" s="267"/>
      <c r="W198" s="267"/>
      <c r="X198" s="267"/>
      <c r="Y198" s="267"/>
      <c r="Z198" s="267"/>
      <c r="AA198" s="267"/>
      <c r="AB198" s="267"/>
      <c r="AC198" s="267"/>
      <c r="AD198" s="267"/>
      <c r="AE198" s="267"/>
      <c r="AF198" s="267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65"/>
      <c r="BI198" s="265"/>
      <c r="BJ198" s="265"/>
      <c r="BK198" s="265"/>
      <c r="BL198" s="265"/>
      <c r="BM198" s="265"/>
      <c r="BN198" s="265"/>
      <c r="BO198" s="265"/>
      <c r="BP198" s="263"/>
      <c r="BQ198" s="263"/>
    </row>
    <row r="199" spans="7:69" x14ac:dyDescent="0.25">
      <c r="G199" s="9"/>
      <c r="H199" s="265"/>
      <c r="I199" s="275"/>
      <c r="J199" s="265"/>
      <c r="K199" s="265"/>
      <c r="L199" s="265"/>
      <c r="M199" s="265"/>
      <c r="N199" s="265"/>
      <c r="O199" s="265"/>
      <c r="P199" s="265"/>
      <c r="Q199" s="264"/>
      <c r="R199" s="264"/>
      <c r="S199" s="264"/>
      <c r="T199" s="264"/>
      <c r="U199" s="268"/>
      <c r="V199" s="269"/>
      <c r="W199" s="268"/>
      <c r="X199" s="270"/>
      <c r="Y199" s="269"/>
      <c r="Z199" s="269"/>
      <c r="AA199" s="264"/>
      <c r="AB199" s="264"/>
      <c r="AC199" s="264"/>
      <c r="AD199" s="264"/>
      <c r="AE199" s="264"/>
      <c r="AF199" s="264"/>
      <c r="AG199" s="269"/>
      <c r="AH199" s="268"/>
      <c r="AI199" s="264"/>
      <c r="AJ199" s="264"/>
      <c r="AK199" s="264"/>
      <c r="AL199" s="264"/>
      <c r="AM199" s="264"/>
      <c r="AN199" s="264"/>
      <c r="AO199" s="264"/>
      <c r="AP199" s="264"/>
      <c r="AQ199" s="264"/>
      <c r="AR199" s="264"/>
      <c r="AS199" s="264"/>
      <c r="AT199" s="264"/>
      <c r="AU199" s="264"/>
      <c r="AV199" s="264"/>
      <c r="AW199" s="264"/>
      <c r="AX199" s="264"/>
      <c r="AY199" s="264"/>
      <c r="AZ199" s="264"/>
      <c r="BA199" s="264"/>
      <c r="BB199" s="264"/>
      <c r="BC199" s="264"/>
      <c r="BD199" s="264"/>
      <c r="BE199" s="264"/>
      <c r="BF199" s="264"/>
      <c r="BG199" s="264"/>
      <c r="BH199" s="265"/>
      <c r="BI199" s="265"/>
      <c r="BJ199" s="265"/>
      <c r="BK199" s="265"/>
      <c r="BL199" s="265"/>
      <c r="BM199" s="265"/>
      <c r="BN199" s="265"/>
      <c r="BO199" s="265"/>
      <c r="BP199" s="263"/>
      <c r="BQ199" s="263"/>
    </row>
    <row r="200" spans="7:69" x14ac:dyDescent="0.25">
      <c r="G200" s="9"/>
      <c r="H200" s="265"/>
      <c r="I200" s="275"/>
      <c r="J200" s="265"/>
      <c r="K200" s="265"/>
      <c r="L200" s="265"/>
      <c r="M200" s="265"/>
      <c r="N200" s="265"/>
      <c r="O200" s="265"/>
      <c r="P200" s="265"/>
      <c r="Q200" s="264"/>
      <c r="R200" s="264"/>
      <c r="S200" s="264"/>
      <c r="T200" s="264"/>
      <c r="U200" s="268"/>
      <c r="V200" s="269"/>
      <c r="W200" s="268"/>
      <c r="X200" s="270"/>
      <c r="Y200" s="269"/>
      <c r="Z200" s="269"/>
      <c r="AA200" s="264"/>
      <c r="AB200" s="264"/>
      <c r="AC200" s="264"/>
      <c r="AD200" s="264"/>
      <c r="AE200" s="264"/>
      <c r="AF200" s="264"/>
      <c r="AG200" s="269"/>
      <c r="AH200" s="268"/>
      <c r="AI200" s="264"/>
      <c r="AJ200" s="264"/>
      <c r="AK200" s="264"/>
      <c r="AL200" s="264"/>
      <c r="AM200" s="264"/>
      <c r="AN200" s="264"/>
      <c r="AO200" s="264"/>
      <c r="AP200" s="264"/>
      <c r="AQ200" s="264"/>
      <c r="AR200" s="264"/>
      <c r="AS200" s="264"/>
      <c r="AT200" s="264"/>
      <c r="AU200" s="264"/>
      <c r="AV200" s="264"/>
      <c r="AW200" s="264"/>
      <c r="AX200" s="264"/>
      <c r="AY200" s="264"/>
      <c r="AZ200" s="264"/>
      <c r="BA200" s="264"/>
      <c r="BB200" s="270"/>
      <c r="BC200" s="270"/>
      <c r="BD200" s="270"/>
      <c r="BE200" s="270"/>
      <c r="BF200" s="264"/>
      <c r="BG200" s="264"/>
      <c r="BH200" s="265"/>
      <c r="BI200" s="265"/>
      <c r="BJ200" s="265"/>
      <c r="BK200" s="265"/>
      <c r="BL200" s="265"/>
      <c r="BM200" s="265"/>
      <c r="BN200" s="265"/>
      <c r="BO200" s="265"/>
      <c r="BP200" s="263"/>
      <c r="BQ200" s="263"/>
    </row>
    <row r="201" spans="7:69" x14ac:dyDescent="0.25">
      <c r="G201" s="9"/>
      <c r="H201" s="265"/>
      <c r="I201" s="275"/>
      <c r="J201" s="265"/>
      <c r="K201" s="265"/>
      <c r="L201" s="265"/>
      <c r="M201" s="265"/>
      <c r="N201" s="265"/>
      <c r="O201" s="265"/>
      <c r="P201" s="265"/>
      <c r="Q201" s="264"/>
      <c r="R201" s="264"/>
      <c r="S201" s="264"/>
      <c r="T201" s="264"/>
      <c r="U201" s="268"/>
      <c r="V201" s="269"/>
      <c r="W201" s="268"/>
      <c r="X201" s="270"/>
      <c r="Y201" s="269"/>
      <c r="Z201" s="269"/>
      <c r="AA201" s="264"/>
      <c r="AB201" s="264"/>
      <c r="AC201" s="264"/>
      <c r="AD201" s="264"/>
      <c r="AE201" s="264"/>
      <c r="AF201" s="264"/>
      <c r="AG201" s="269"/>
      <c r="AH201" s="268"/>
      <c r="AI201" s="264"/>
      <c r="AJ201" s="264"/>
      <c r="AK201" s="264"/>
      <c r="AL201" s="264"/>
      <c r="AM201" s="264"/>
      <c r="AN201" s="264"/>
      <c r="AO201" s="264"/>
      <c r="AP201" s="264"/>
      <c r="AQ201" s="264"/>
      <c r="AR201" s="264"/>
      <c r="AS201" s="264"/>
      <c r="AT201" s="264"/>
      <c r="AU201" s="264"/>
      <c r="AV201" s="264"/>
      <c r="AW201" s="264"/>
      <c r="AX201" s="264"/>
      <c r="AY201" s="264"/>
      <c r="AZ201" s="264"/>
      <c r="BA201" s="264"/>
      <c r="BB201" s="270"/>
      <c r="BC201" s="270"/>
      <c r="BD201" s="270"/>
      <c r="BE201" s="270"/>
      <c r="BF201" s="264"/>
      <c r="BG201" s="264"/>
      <c r="BH201" s="265"/>
      <c r="BI201" s="265"/>
      <c r="BJ201" s="265"/>
      <c r="BK201" s="265"/>
      <c r="BL201" s="265"/>
      <c r="BM201" s="265"/>
      <c r="BN201" s="265"/>
      <c r="BO201" s="265"/>
      <c r="BP201" s="263"/>
      <c r="BQ201" s="263"/>
    </row>
    <row r="202" spans="7:69" x14ac:dyDescent="0.25">
      <c r="G202" s="9"/>
      <c r="H202" s="265"/>
      <c r="I202" s="275"/>
      <c r="J202" s="265"/>
      <c r="K202" s="265"/>
      <c r="L202" s="265"/>
      <c r="M202" s="265"/>
      <c r="N202" s="265"/>
      <c r="O202" s="265"/>
      <c r="P202" s="265"/>
      <c r="Q202" s="264"/>
      <c r="R202" s="264"/>
      <c r="S202" s="264"/>
      <c r="T202" s="264"/>
      <c r="U202" s="268"/>
      <c r="V202" s="269"/>
      <c r="W202" s="268"/>
      <c r="X202" s="270"/>
      <c r="Y202" s="269"/>
      <c r="Z202" s="269"/>
      <c r="AA202" s="264"/>
      <c r="AB202" s="264"/>
      <c r="AC202" s="264"/>
      <c r="AD202" s="264"/>
      <c r="AE202" s="264"/>
      <c r="AF202" s="264"/>
      <c r="AG202" s="269"/>
      <c r="AH202" s="268"/>
      <c r="AI202" s="264"/>
      <c r="AJ202" s="264"/>
      <c r="AK202" s="264"/>
      <c r="AL202" s="264"/>
      <c r="AM202" s="264"/>
      <c r="AN202" s="264"/>
      <c r="AO202" s="264"/>
      <c r="AP202" s="264"/>
      <c r="AQ202" s="264"/>
      <c r="AR202" s="264"/>
      <c r="AS202" s="264"/>
      <c r="AT202" s="264"/>
      <c r="AU202" s="264"/>
      <c r="AV202" s="264"/>
      <c r="AW202" s="264"/>
      <c r="AX202" s="264"/>
      <c r="AY202" s="264"/>
      <c r="AZ202" s="264"/>
      <c r="BA202" s="264"/>
      <c r="BB202" s="270"/>
      <c r="BC202" s="270"/>
      <c r="BD202" s="270"/>
      <c r="BE202" s="270"/>
      <c r="BF202" s="264"/>
      <c r="BG202" s="264"/>
      <c r="BH202" s="265"/>
      <c r="BI202" s="265"/>
      <c r="BJ202" s="266"/>
      <c r="BK202" s="265"/>
      <c r="BL202" s="265"/>
      <c r="BM202" s="265"/>
      <c r="BN202" s="265"/>
      <c r="BO202" s="265"/>
      <c r="BP202" s="263"/>
      <c r="BQ202" s="263"/>
    </row>
    <row r="203" spans="7:69" x14ac:dyDescent="0.25">
      <c r="G203" s="9"/>
      <c r="H203" s="265"/>
      <c r="I203" s="275"/>
      <c r="J203" s="265"/>
      <c r="K203" s="265"/>
      <c r="L203" s="265"/>
      <c r="M203" s="265"/>
      <c r="N203" s="265"/>
      <c r="O203" s="265"/>
      <c r="P203" s="265"/>
      <c r="Q203" s="264"/>
      <c r="R203" s="264"/>
      <c r="S203" s="264"/>
      <c r="T203" s="264"/>
      <c r="U203" s="268"/>
      <c r="V203" s="269"/>
      <c r="W203" s="268"/>
      <c r="X203" s="270"/>
      <c r="Y203" s="269"/>
      <c r="Z203" s="269"/>
      <c r="AA203" s="264"/>
      <c r="AB203" s="264"/>
      <c r="AC203" s="264"/>
      <c r="AD203" s="264"/>
      <c r="AE203" s="264"/>
      <c r="AF203" s="264"/>
      <c r="AG203" s="269"/>
      <c r="AH203" s="268"/>
      <c r="AI203" s="264"/>
      <c r="AJ203" s="264"/>
      <c r="AK203" s="264"/>
      <c r="AL203" s="264"/>
      <c r="AM203" s="264"/>
      <c r="AN203" s="264"/>
      <c r="AO203" s="264"/>
      <c r="AP203" s="264"/>
      <c r="AQ203" s="264"/>
      <c r="AR203" s="264"/>
      <c r="AS203" s="264"/>
      <c r="AT203" s="264"/>
      <c r="AU203" s="264"/>
      <c r="AV203" s="264"/>
      <c r="AW203" s="264"/>
      <c r="AX203" s="264"/>
      <c r="AY203" s="264"/>
      <c r="AZ203" s="264"/>
      <c r="BA203" s="264"/>
      <c r="BB203" s="270"/>
      <c r="BC203" s="270"/>
      <c r="BD203" s="270"/>
      <c r="BE203" s="270"/>
      <c r="BF203" s="264"/>
      <c r="BG203" s="264"/>
      <c r="BH203" s="265"/>
      <c r="BI203" s="265"/>
      <c r="BJ203" s="265"/>
      <c r="BK203" s="265"/>
      <c r="BL203" s="265"/>
      <c r="BM203" s="265"/>
      <c r="BN203" s="265"/>
      <c r="BO203" s="265"/>
      <c r="BP203" s="263"/>
      <c r="BQ203" s="263"/>
    </row>
    <row r="204" spans="7:69" x14ac:dyDescent="0.25">
      <c r="G204" s="9"/>
      <c r="H204" s="265"/>
      <c r="I204" s="275"/>
      <c r="J204" s="265"/>
      <c r="K204" s="265"/>
      <c r="L204" s="265"/>
      <c r="M204" s="265"/>
      <c r="N204" s="265"/>
      <c r="O204" s="265"/>
      <c r="P204" s="265"/>
      <c r="Q204" s="264"/>
      <c r="R204" s="264"/>
      <c r="S204" s="264"/>
      <c r="T204" s="264"/>
      <c r="U204" s="268"/>
      <c r="V204" s="269"/>
      <c r="W204" s="268"/>
      <c r="X204" s="270"/>
      <c r="Y204" s="269"/>
      <c r="Z204" s="269"/>
      <c r="AA204" s="264"/>
      <c r="AB204" s="264"/>
      <c r="AC204" s="264"/>
      <c r="AD204" s="264"/>
      <c r="AE204" s="264"/>
      <c r="AF204" s="264"/>
      <c r="AG204" s="269"/>
      <c r="AH204" s="268"/>
      <c r="AI204" s="264"/>
      <c r="AJ204" s="264"/>
      <c r="AK204" s="264"/>
      <c r="AL204" s="264"/>
      <c r="AM204" s="264"/>
      <c r="AN204" s="264"/>
      <c r="AO204" s="264"/>
      <c r="AP204" s="264"/>
      <c r="AQ204" s="264"/>
      <c r="AR204" s="264"/>
      <c r="AS204" s="264"/>
      <c r="AT204" s="264"/>
      <c r="AU204" s="264"/>
      <c r="AV204" s="264"/>
      <c r="AW204" s="264"/>
      <c r="AX204" s="264"/>
      <c r="AY204" s="264"/>
      <c r="AZ204" s="264"/>
      <c r="BA204" s="264"/>
      <c r="BB204" s="270"/>
      <c r="BC204" s="270"/>
      <c r="BD204" s="270"/>
      <c r="BE204" s="270"/>
      <c r="BF204" s="264"/>
      <c r="BG204" s="264"/>
      <c r="BH204" s="265"/>
      <c r="BI204" s="265"/>
      <c r="BJ204" s="265"/>
      <c r="BK204" s="265"/>
      <c r="BL204" s="265"/>
      <c r="BM204" s="265"/>
      <c r="BN204" s="265"/>
      <c r="BO204" s="265"/>
      <c r="BP204" s="263"/>
      <c r="BQ204" s="263"/>
    </row>
    <row r="205" spans="7:69" x14ac:dyDescent="0.25">
      <c r="G205" s="9"/>
      <c r="H205" s="265"/>
      <c r="I205" s="275"/>
      <c r="J205" s="265"/>
      <c r="K205" s="265"/>
      <c r="L205" s="265"/>
      <c r="M205" s="265"/>
      <c r="N205" s="265"/>
      <c r="O205" s="265"/>
      <c r="P205" s="265"/>
      <c r="Q205" s="264"/>
      <c r="R205" s="264"/>
      <c r="S205" s="264"/>
      <c r="T205" s="264"/>
      <c r="U205" s="268"/>
      <c r="V205" s="269"/>
      <c r="W205" s="268"/>
      <c r="X205" s="270"/>
      <c r="Y205" s="269"/>
      <c r="Z205" s="269"/>
      <c r="AA205" s="264"/>
      <c r="AB205" s="264"/>
      <c r="AC205" s="264"/>
      <c r="AD205" s="264"/>
      <c r="AE205" s="264"/>
      <c r="AF205" s="264"/>
      <c r="AG205" s="269"/>
      <c r="AH205" s="268"/>
      <c r="AI205" s="264"/>
      <c r="AJ205" s="264"/>
      <c r="AK205" s="264"/>
      <c r="AL205" s="264"/>
      <c r="AM205" s="264"/>
      <c r="AN205" s="264"/>
      <c r="AO205" s="264"/>
      <c r="AP205" s="264"/>
      <c r="AQ205" s="264"/>
      <c r="AR205" s="264"/>
      <c r="AS205" s="264"/>
      <c r="AT205" s="264"/>
      <c r="AU205" s="264"/>
      <c r="AV205" s="264"/>
      <c r="AW205" s="264"/>
      <c r="AX205" s="264"/>
      <c r="AY205" s="264"/>
      <c r="AZ205" s="264"/>
      <c r="BA205" s="264"/>
      <c r="BB205" s="270"/>
      <c r="BC205" s="270"/>
      <c r="BD205" s="270"/>
      <c r="BE205" s="270"/>
      <c r="BF205" s="264"/>
      <c r="BG205" s="264"/>
      <c r="BH205" s="265"/>
      <c r="BI205" s="265"/>
      <c r="BJ205" s="265"/>
      <c r="BK205" s="265"/>
      <c r="BL205" s="265"/>
      <c r="BM205" s="265"/>
      <c r="BN205" s="265"/>
      <c r="BO205" s="265"/>
      <c r="BP205" s="263"/>
      <c r="BQ205" s="263"/>
    </row>
    <row r="206" spans="7:69" x14ac:dyDescent="0.25">
      <c r="G206" s="9"/>
      <c r="H206" s="265"/>
      <c r="I206" s="275"/>
      <c r="J206" s="265"/>
      <c r="K206" s="265"/>
      <c r="L206" s="265"/>
      <c r="M206" s="265"/>
      <c r="N206" s="265"/>
      <c r="O206" s="265"/>
      <c r="P206" s="265"/>
      <c r="Q206" s="264"/>
      <c r="R206" s="264"/>
      <c r="S206" s="264"/>
      <c r="T206" s="264"/>
      <c r="U206" s="268"/>
      <c r="V206" s="269"/>
      <c r="W206" s="268"/>
      <c r="X206" s="270"/>
      <c r="Y206" s="269"/>
      <c r="Z206" s="269"/>
      <c r="AA206" s="264"/>
      <c r="AB206" s="264"/>
      <c r="AC206" s="264"/>
      <c r="AD206" s="264"/>
      <c r="AE206" s="264"/>
      <c r="AF206" s="264"/>
      <c r="AG206" s="269"/>
      <c r="AH206" s="268"/>
      <c r="AI206" s="264"/>
      <c r="AJ206" s="264"/>
      <c r="AK206" s="264"/>
      <c r="AL206" s="264"/>
      <c r="AM206" s="264"/>
      <c r="AN206" s="264"/>
      <c r="AO206" s="264"/>
      <c r="AP206" s="264"/>
      <c r="AQ206" s="264"/>
      <c r="AR206" s="264"/>
      <c r="AS206" s="264"/>
      <c r="AT206" s="264"/>
      <c r="AU206" s="264"/>
      <c r="AV206" s="264"/>
      <c r="AW206" s="264"/>
      <c r="AX206" s="264"/>
      <c r="AY206" s="264"/>
      <c r="AZ206" s="264"/>
      <c r="BA206" s="264"/>
      <c r="BB206" s="270"/>
      <c r="BC206" s="270"/>
      <c r="BD206" s="270"/>
      <c r="BE206" s="270"/>
      <c r="BF206" s="264"/>
      <c r="BG206" s="264"/>
      <c r="BH206" s="265"/>
      <c r="BI206" s="265"/>
      <c r="BJ206" s="265"/>
      <c r="BK206" s="265"/>
      <c r="BL206" s="265"/>
      <c r="BM206" s="265"/>
      <c r="BN206" s="265"/>
      <c r="BO206" s="265"/>
      <c r="BP206" s="263"/>
      <c r="BQ206" s="263"/>
    </row>
    <row r="207" spans="7:69" x14ac:dyDescent="0.25">
      <c r="G207" s="9"/>
      <c r="H207" s="265"/>
      <c r="I207" s="275"/>
      <c r="J207" s="265"/>
      <c r="K207" s="265"/>
      <c r="L207" s="265"/>
      <c r="M207" s="265"/>
      <c r="N207" s="265"/>
      <c r="O207" s="265"/>
      <c r="P207" s="265"/>
      <c r="Q207" s="264"/>
      <c r="R207" s="264"/>
      <c r="S207" s="264"/>
      <c r="T207" s="264"/>
      <c r="U207" s="268"/>
      <c r="V207" s="269"/>
      <c r="W207" s="268"/>
      <c r="X207" s="270"/>
      <c r="Y207" s="269"/>
      <c r="Z207" s="269"/>
      <c r="AA207" s="264"/>
      <c r="AB207" s="264"/>
      <c r="AC207" s="264"/>
      <c r="AD207" s="264"/>
      <c r="AE207" s="264"/>
      <c r="AF207" s="264"/>
      <c r="AG207" s="269"/>
      <c r="AH207" s="268"/>
      <c r="AI207" s="264"/>
      <c r="AJ207" s="264"/>
      <c r="AK207" s="264"/>
      <c r="AL207" s="264"/>
      <c r="AM207" s="264"/>
      <c r="AN207" s="264"/>
      <c r="AO207" s="264"/>
      <c r="AP207" s="264"/>
      <c r="AQ207" s="264"/>
      <c r="AR207" s="264"/>
      <c r="AS207" s="264"/>
      <c r="AT207" s="264"/>
      <c r="AU207" s="264"/>
      <c r="AV207" s="264"/>
      <c r="AW207" s="264"/>
      <c r="AX207" s="264"/>
      <c r="AY207" s="264"/>
      <c r="AZ207" s="264"/>
      <c r="BA207" s="264"/>
      <c r="BB207" s="270"/>
      <c r="BC207" s="270"/>
      <c r="BD207" s="270"/>
      <c r="BE207" s="270"/>
      <c r="BF207" s="264"/>
      <c r="BG207" s="264"/>
      <c r="BH207" s="265"/>
      <c r="BI207" s="265"/>
      <c r="BJ207" s="265"/>
      <c r="BK207" s="265"/>
      <c r="BL207" s="265"/>
      <c r="BM207" s="265"/>
      <c r="BN207" s="265"/>
      <c r="BO207" s="265"/>
      <c r="BP207" s="263"/>
      <c r="BQ207" s="263"/>
    </row>
    <row r="208" spans="7:69" x14ac:dyDescent="0.25">
      <c r="G208" s="9"/>
      <c r="H208" s="265"/>
      <c r="I208" s="275"/>
      <c r="J208" s="265"/>
      <c r="K208" s="265"/>
      <c r="L208" s="265"/>
      <c r="M208" s="265"/>
      <c r="N208" s="265"/>
      <c r="O208" s="265"/>
      <c r="P208" s="265"/>
      <c r="Q208" s="264"/>
      <c r="R208" s="264"/>
      <c r="S208" s="264"/>
      <c r="T208" s="264"/>
      <c r="U208" s="268"/>
      <c r="V208" s="269"/>
      <c r="W208" s="268"/>
      <c r="X208" s="270"/>
      <c r="Y208" s="269"/>
      <c r="Z208" s="269"/>
      <c r="AA208" s="264"/>
      <c r="AB208" s="264"/>
      <c r="AC208" s="264"/>
      <c r="AD208" s="264"/>
      <c r="AE208" s="264"/>
      <c r="AF208" s="264"/>
      <c r="AG208" s="269"/>
      <c r="AH208" s="268"/>
      <c r="AI208" s="264"/>
      <c r="AJ208" s="264"/>
      <c r="AK208" s="264"/>
      <c r="AL208" s="264"/>
      <c r="AM208" s="264"/>
      <c r="AN208" s="264"/>
      <c r="AO208" s="264"/>
      <c r="AP208" s="264"/>
      <c r="AQ208" s="264"/>
      <c r="AR208" s="264"/>
      <c r="AS208" s="264"/>
      <c r="AT208" s="264"/>
      <c r="AU208" s="264"/>
      <c r="AV208" s="264"/>
      <c r="AW208" s="264"/>
      <c r="AX208" s="264"/>
      <c r="AY208" s="264"/>
      <c r="AZ208" s="264"/>
      <c r="BA208" s="264"/>
      <c r="BB208" s="270"/>
      <c r="BC208" s="270"/>
      <c r="BD208" s="270"/>
      <c r="BE208" s="270"/>
      <c r="BF208" s="264"/>
      <c r="BG208" s="264"/>
      <c r="BH208" s="265"/>
      <c r="BI208" s="265"/>
      <c r="BJ208" s="265"/>
      <c r="BK208" s="265"/>
      <c r="BL208" s="265"/>
      <c r="BM208" s="265"/>
      <c r="BN208" s="265"/>
      <c r="BO208" s="265"/>
      <c r="BP208" s="263"/>
      <c r="BQ208" s="263"/>
    </row>
    <row r="209" spans="7:69" x14ac:dyDescent="0.25">
      <c r="G209" s="9"/>
      <c r="H209" s="265"/>
      <c r="I209" s="275"/>
      <c r="J209" s="265"/>
      <c r="K209" s="265"/>
      <c r="L209" s="265"/>
      <c r="M209" s="265"/>
      <c r="N209" s="265"/>
      <c r="O209" s="265"/>
      <c r="P209" s="265"/>
      <c r="Q209" s="264"/>
      <c r="R209" s="264"/>
      <c r="S209" s="264"/>
      <c r="T209" s="264"/>
      <c r="U209" s="268"/>
      <c r="V209" s="269"/>
      <c r="W209" s="268"/>
      <c r="X209" s="270"/>
      <c r="Y209" s="269"/>
      <c r="Z209" s="269"/>
      <c r="AA209" s="264"/>
      <c r="AB209" s="264"/>
      <c r="AC209" s="264"/>
      <c r="AD209" s="264"/>
      <c r="AE209" s="264"/>
      <c r="AF209" s="264"/>
      <c r="AG209" s="269"/>
      <c r="AH209" s="268"/>
      <c r="AI209" s="264"/>
      <c r="AJ209" s="264"/>
      <c r="AK209" s="264"/>
      <c r="AL209" s="264"/>
      <c r="AM209" s="264"/>
      <c r="AN209" s="264"/>
      <c r="AO209" s="264"/>
      <c r="AP209" s="264"/>
      <c r="AQ209" s="264"/>
      <c r="AR209" s="264"/>
      <c r="AS209" s="264"/>
      <c r="AT209" s="264"/>
      <c r="AU209" s="264"/>
      <c r="AV209" s="264"/>
      <c r="AW209" s="264"/>
      <c r="AX209" s="264"/>
      <c r="AY209" s="264"/>
      <c r="AZ209" s="264"/>
      <c r="BA209" s="264"/>
      <c r="BB209" s="270"/>
      <c r="BC209" s="270"/>
      <c r="BD209" s="270"/>
      <c r="BE209" s="270"/>
      <c r="BF209" s="264"/>
      <c r="BG209" s="264"/>
      <c r="BH209" s="265"/>
      <c r="BI209" s="265"/>
      <c r="BJ209" s="265"/>
      <c r="BK209" s="265"/>
      <c r="BL209" s="265"/>
      <c r="BM209" s="265"/>
      <c r="BN209" s="265"/>
      <c r="BO209" s="265"/>
      <c r="BP209" s="263"/>
      <c r="BQ209" s="263"/>
    </row>
    <row r="210" spans="7:69" x14ac:dyDescent="0.25">
      <c r="G210" s="9"/>
      <c r="H210" s="265"/>
      <c r="I210" s="275"/>
      <c r="J210" s="265"/>
      <c r="K210" s="265"/>
      <c r="L210" s="265"/>
      <c r="M210" s="265"/>
      <c r="N210" s="265"/>
      <c r="O210" s="265"/>
      <c r="P210" s="265"/>
      <c r="Q210" s="264"/>
      <c r="R210" s="264"/>
      <c r="S210" s="264"/>
      <c r="T210" s="264"/>
      <c r="U210" s="268"/>
      <c r="V210" s="269"/>
      <c r="W210" s="268"/>
      <c r="X210" s="270"/>
      <c r="Y210" s="269"/>
      <c r="Z210" s="269"/>
      <c r="AA210" s="264"/>
      <c r="AB210" s="264"/>
      <c r="AC210" s="264"/>
      <c r="AD210" s="264"/>
      <c r="AE210" s="264"/>
      <c r="AF210" s="264"/>
      <c r="AG210" s="269"/>
      <c r="AH210" s="268"/>
      <c r="AI210" s="264"/>
      <c r="AJ210" s="264"/>
      <c r="AK210" s="264"/>
      <c r="AL210" s="264"/>
      <c r="AM210" s="264"/>
      <c r="AN210" s="264"/>
      <c r="AO210" s="264"/>
      <c r="AP210" s="264"/>
      <c r="AQ210" s="264"/>
      <c r="AR210" s="264"/>
      <c r="AS210" s="264"/>
      <c r="AT210" s="264"/>
      <c r="AU210" s="264"/>
      <c r="AV210" s="264"/>
      <c r="AW210" s="264"/>
      <c r="AX210" s="264"/>
      <c r="AY210" s="264"/>
      <c r="AZ210" s="264"/>
      <c r="BA210" s="264"/>
      <c r="BB210" s="270"/>
      <c r="BC210" s="270"/>
      <c r="BD210" s="270"/>
      <c r="BE210" s="270"/>
      <c r="BF210" s="264"/>
      <c r="BG210" s="264"/>
      <c r="BH210" s="265"/>
      <c r="BI210" s="265"/>
      <c r="BJ210" s="265"/>
      <c r="BK210" s="265"/>
      <c r="BL210" s="265"/>
      <c r="BM210" s="265"/>
      <c r="BN210" s="265"/>
      <c r="BO210" s="265"/>
      <c r="BP210" s="263"/>
      <c r="BQ210" s="263"/>
    </row>
    <row r="211" spans="7:69" x14ac:dyDescent="0.25">
      <c r="G211" s="9"/>
      <c r="H211" s="265"/>
      <c r="I211" s="275"/>
      <c r="J211" s="265"/>
      <c r="K211" s="265"/>
      <c r="L211" s="265"/>
      <c r="M211" s="265"/>
      <c r="N211" s="265"/>
      <c r="O211" s="265"/>
      <c r="P211" s="265"/>
      <c r="Q211" s="264"/>
      <c r="R211" s="264"/>
      <c r="S211" s="264"/>
      <c r="T211" s="264"/>
      <c r="U211" s="268"/>
      <c r="V211" s="269"/>
      <c r="W211" s="268"/>
      <c r="X211" s="270"/>
      <c r="Y211" s="269"/>
      <c r="Z211" s="269"/>
      <c r="AA211" s="264"/>
      <c r="AB211" s="264"/>
      <c r="AC211" s="264"/>
      <c r="AD211" s="264"/>
      <c r="AE211" s="264"/>
      <c r="AF211" s="264"/>
      <c r="AG211" s="269"/>
      <c r="AH211" s="268"/>
      <c r="AI211" s="264"/>
      <c r="AJ211" s="264"/>
      <c r="AK211" s="264"/>
      <c r="AL211" s="264"/>
      <c r="AM211" s="264"/>
      <c r="AN211" s="264"/>
      <c r="AO211" s="264"/>
      <c r="AP211" s="264"/>
      <c r="AQ211" s="264"/>
      <c r="AR211" s="264"/>
      <c r="AS211" s="264"/>
      <c r="AT211" s="264"/>
      <c r="AU211" s="264"/>
      <c r="AV211" s="264"/>
      <c r="AW211" s="264"/>
      <c r="AX211" s="264"/>
      <c r="AY211" s="264"/>
      <c r="AZ211" s="264"/>
      <c r="BA211" s="264"/>
      <c r="BB211" s="270"/>
      <c r="BC211" s="270"/>
      <c r="BD211" s="270"/>
      <c r="BE211" s="270"/>
      <c r="BF211" s="264"/>
      <c r="BG211" s="264"/>
      <c r="BH211" s="265"/>
      <c r="BI211" s="265"/>
      <c r="BJ211" s="265"/>
      <c r="BK211" s="265"/>
      <c r="BL211" s="265"/>
      <c r="BM211" s="265"/>
      <c r="BN211" s="265"/>
      <c r="BO211" s="263"/>
      <c r="BP211" s="263"/>
      <c r="BQ211" s="263"/>
    </row>
    <row r="212" spans="7:69" x14ac:dyDescent="0.25">
      <c r="G212" s="9"/>
      <c r="H212" s="265"/>
      <c r="I212" s="275"/>
      <c r="J212" s="265"/>
      <c r="K212" s="265"/>
      <c r="L212" s="265"/>
      <c r="M212" s="265"/>
      <c r="N212" s="265"/>
      <c r="O212" s="265"/>
      <c r="P212" s="265"/>
      <c r="Q212" s="264"/>
      <c r="R212" s="264"/>
      <c r="S212" s="264"/>
      <c r="T212" s="264"/>
      <c r="U212" s="268"/>
      <c r="V212" s="269"/>
      <c r="W212" s="268"/>
      <c r="X212" s="270"/>
      <c r="Y212" s="269"/>
      <c r="Z212" s="269"/>
      <c r="AA212" s="264"/>
      <c r="AB212" s="264"/>
      <c r="AC212" s="264"/>
      <c r="AD212" s="264"/>
      <c r="AE212" s="264"/>
      <c r="AF212" s="264"/>
      <c r="AG212" s="269"/>
      <c r="AH212" s="268"/>
      <c r="AI212" s="264"/>
      <c r="AJ212" s="264"/>
      <c r="AK212" s="264"/>
      <c r="AL212" s="264"/>
      <c r="AM212" s="264"/>
      <c r="AN212" s="264"/>
      <c r="AO212" s="264"/>
      <c r="AP212" s="264"/>
      <c r="AQ212" s="264"/>
      <c r="AR212" s="264"/>
      <c r="AS212" s="264"/>
      <c r="AT212" s="264"/>
      <c r="AU212" s="264"/>
      <c r="AV212" s="264"/>
      <c r="AW212" s="264"/>
      <c r="AX212" s="264"/>
      <c r="AY212" s="264"/>
      <c r="AZ212" s="264"/>
      <c r="BA212" s="264"/>
      <c r="BB212" s="270"/>
      <c r="BC212" s="270"/>
      <c r="BD212" s="270"/>
      <c r="BE212" s="270"/>
      <c r="BF212" s="264"/>
      <c r="BG212" s="264"/>
      <c r="BH212" s="265"/>
      <c r="BI212" s="265"/>
      <c r="BJ212" s="265"/>
      <c r="BK212" s="265"/>
      <c r="BL212" s="265"/>
      <c r="BM212" s="265"/>
      <c r="BN212" s="265"/>
      <c r="BO212" s="263"/>
      <c r="BP212" s="263"/>
      <c r="BQ212" s="263"/>
    </row>
    <row r="213" spans="7:69" x14ac:dyDescent="0.25">
      <c r="G213" s="9"/>
      <c r="H213" s="265"/>
      <c r="I213" s="275"/>
      <c r="J213" s="265"/>
      <c r="K213" s="265"/>
      <c r="L213" s="265"/>
      <c r="M213" s="265"/>
      <c r="N213" s="265"/>
      <c r="O213" s="265"/>
      <c r="P213" s="265"/>
      <c r="Q213" s="264"/>
      <c r="R213" s="264"/>
      <c r="S213" s="264"/>
      <c r="T213" s="264"/>
      <c r="U213" s="268"/>
      <c r="V213" s="269"/>
      <c r="W213" s="268"/>
      <c r="X213" s="270"/>
      <c r="Y213" s="269"/>
      <c r="Z213" s="269"/>
      <c r="AA213" s="264"/>
      <c r="AB213" s="264"/>
      <c r="AC213" s="264"/>
      <c r="AD213" s="264"/>
      <c r="AE213" s="264"/>
      <c r="AF213" s="264"/>
      <c r="AG213" s="269"/>
      <c r="AH213" s="268"/>
      <c r="AI213" s="264"/>
      <c r="AJ213" s="264"/>
      <c r="AK213" s="264"/>
      <c r="AL213" s="264"/>
      <c r="AM213" s="264"/>
      <c r="AN213" s="264"/>
      <c r="AO213" s="264"/>
      <c r="AP213" s="264"/>
      <c r="AQ213" s="264"/>
      <c r="AR213" s="264"/>
      <c r="AS213" s="264"/>
      <c r="AT213" s="264"/>
      <c r="AU213" s="264"/>
      <c r="AV213" s="264"/>
      <c r="AW213" s="264"/>
      <c r="AX213" s="264"/>
      <c r="AY213" s="264"/>
      <c r="AZ213" s="264"/>
      <c r="BA213" s="264"/>
      <c r="BB213" s="270"/>
      <c r="BC213" s="270"/>
      <c r="BD213" s="270"/>
      <c r="BE213" s="270"/>
      <c r="BF213" s="264"/>
      <c r="BG213" s="264"/>
      <c r="BH213" s="265"/>
      <c r="BI213" s="265"/>
      <c r="BJ213" s="265"/>
      <c r="BK213" s="265"/>
      <c r="BL213" s="265"/>
      <c r="BM213" s="265"/>
      <c r="BN213" s="265"/>
      <c r="BO213" s="263"/>
      <c r="BP213" s="263"/>
      <c r="BQ213" s="263"/>
    </row>
    <row r="214" spans="7:69" x14ac:dyDescent="0.25">
      <c r="G214" s="9"/>
      <c r="H214" s="265"/>
      <c r="I214" s="275">
        <v>1</v>
      </c>
      <c r="J214" s="265"/>
      <c r="K214" s="265"/>
      <c r="L214" s="265"/>
      <c r="M214" s="265"/>
      <c r="N214" s="265"/>
      <c r="O214" s="265"/>
      <c r="P214" s="265"/>
      <c r="Q214" s="264"/>
      <c r="R214" s="264"/>
      <c r="S214" s="264"/>
      <c r="T214" s="264"/>
      <c r="U214" s="268"/>
      <c r="V214" s="269"/>
      <c r="W214" s="268"/>
      <c r="X214" s="270"/>
      <c r="Y214" s="269"/>
      <c r="Z214" s="269"/>
      <c r="AA214" s="264"/>
      <c r="AB214" s="264"/>
      <c r="AC214" s="264"/>
      <c r="AD214" s="264"/>
      <c r="AE214" s="264"/>
      <c r="AF214" s="264"/>
      <c r="AG214" s="269"/>
      <c r="AH214" s="268"/>
      <c r="AI214" s="264"/>
      <c r="AJ214" s="264"/>
      <c r="AK214" s="264"/>
      <c r="AL214" s="264"/>
      <c r="AM214" s="264"/>
      <c r="AN214" s="264"/>
      <c r="AO214" s="264"/>
      <c r="AP214" s="264"/>
      <c r="AQ214" s="264"/>
      <c r="AR214" s="264"/>
      <c r="AS214" s="264"/>
      <c r="AT214" s="264"/>
      <c r="AU214" s="264"/>
      <c r="AV214" s="264"/>
      <c r="AW214" s="264"/>
      <c r="AX214" s="264"/>
      <c r="AY214" s="264"/>
      <c r="AZ214" s="264"/>
      <c r="BA214" s="264"/>
      <c r="BB214" s="270"/>
      <c r="BC214" s="270"/>
      <c r="BD214" s="270"/>
      <c r="BE214" s="270"/>
      <c r="BF214" s="264"/>
      <c r="BG214" s="264"/>
      <c r="BH214" s="265"/>
      <c r="BI214" s="265"/>
      <c r="BJ214" s="265"/>
      <c r="BK214" s="265"/>
      <c r="BL214" s="265"/>
      <c r="BM214" s="265"/>
      <c r="BN214" s="265"/>
      <c r="BO214" s="263"/>
      <c r="BP214" s="263"/>
      <c r="BQ214" s="263"/>
    </row>
    <row r="215" spans="7:69" x14ac:dyDescent="0.25">
      <c r="G215" s="9"/>
      <c r="H215" s="265"/>
      <c r="I215" s="275"/>
      <c r="J215" s="265"/>
      <c r="K215" s="265"/>
      <c r="L215" s="265"/>
      <c r="M215" s="265"/>
      <c r="N215" s="265"/>
      <c r="O215" s="265"/>
      <c r="P215" s="265"/>
      <c r="Q215" s="264"/>
      <c r="R215" s="264"/>
      <c r="S215" s="264"/>
      <c r="T215" s="264"/>
      <c r="U215" s="268"/>
      <c r="V215" s="269"/>
      <c r="W215" s="268"/>
      <c r="X215" s="270"/>
      <c r="Y215" s="269"/>
      <c r="Z215" s="269"/>
      <c r="AA215" s="264"/>
      <c r="AB215" s="264"/>
      <c r="AC215" s="264"/>
      <c r="AD215" s="264"/>
      <c r="AE215" s="264"/>
      <c r="AF215" s="264"/>
      <c r="AG215" s="269"/>
      <c r="AH215" s="268"/>
      <c r="AI215" s="264"/>
      <c r="AJ215" s="264"/>
      <c r="AK215" s="264"/>
      <c r="AL215" s="264"/>
      <c r="AM215" s="264"/>
      <c r="AN215" s="264"/>
      <c r="AO215" s="264"/>
      <c r="AP215" s="264"/>
      <c r="AQ215" s="264"/>
      <c r="AR215" s="264"/>
      <c r="AS215" s="264"/>
      <c r="AT215" s="264"/>
      <c r="AU215" s="264"/>
      <c r="AV215" s="264"/>
      <c r="AW215" s="264"/>
      <c r="AX215" s="264"/>
      <c r="AY215" s="264"/>
      <c r="AZ215" s="264"/>
      <c r="BA215" s="264"/>
      <c r="BB215" s="270"/>
      <c r="BC215" s="270"/>
      <c r="BD215" s="270"/>
      <c r="BE215" s="270"/>
      <c r="BF215" s="264"/>
      <c r="BG215" s="264"/>
      <c r="BH215" s="265"/>
      <c r="BI215" s="265"/>
      <c r="BJ215" s="265"/>
      <c r="BK215" s="265"/>
      <c r="BL215" s="265"/>
      <c r="BM215" s="265"/>
      <c r="BN215" s="265"/>
      <c r="BO215" s="263"/>
      <c r="BP215" s="263"/>
      <c r="BQ215" s="263"/>
    </row>
    <row r="216" spans="7:69" x14ac:dyDescent="0.25">
      <c r="G216" s="9"/>
      <c r="H216" s="265"/>
      <c r="I216" s="275"/>
      <c r="J216" s="265"/>
      <c r="K216" s="265"/>
      <c r="L216" s="265"/>
      <c r="M216" s="265"/>
      <c r="N216" s="265"/>
      <c r="O216" s="265"/>
      <c r="P216" s="265"/>
      <c r="Q216" s="264"/>
      <c r="R216" s="264"/>
      <c r="S216" s="264"/>
      <c r="T216" s="264"/>
      <c r="U216" s="268"/>
      <c r="V216" s="269"/>
      <c r="W216" s="268"/>
      <c r="X216" s="270"/>
      <c r="Y216" s="269"/>
      <c r="Z216" s="269"/>
      <c r="AA216" s="264"/>
      <c r="AB216" s="264"/>
      <c r="AC216" s="264"/>
      <c r="AD216" s="264"/>
      <c r="AE216" s="264"/>
      <c r="AF216" s="264"/>
      <c r="AG216" s="269"/>
      <c r="AH216" s="268"/>
      <c r="AI216" s="264"/>
      <c r="AJ216" s="264"/>
      <c r="AK216" s="264"/>
      <c r="AL216" s="264"/>
      <c r="AM216" s="264"/>
      <c r="AN216" s="264"/>
      <c r="AO216" s="264"/>
      <c r="AP216" s="264"/>
      <c r="AQ216" s="264"/>
      <c r="AR216" s="264"/>
      <c r="AS216" s="264"/>
      <c r="AT216" s="264"/>
      <c r="AU216" s="264"/>
      <c r="AV216" s="264"/>
      <c r="AW216" s="264"/>
      <c r="AX216" s="264"/>
      <c r="AY216" s="264"/>
      <c r="AZ216" s="264"/>
      <c r="BA216" s="264"/>
      <c r="BB216" s="270"/>
      <c r="BC216" s="270"/>
      <c r="BD216" s="270"/>
      <c r="BE216" s="270"/>
      <c r="BF216" s="264"/>
      <c r="BG216" s="264"/>
      <c r="BH216" s="265"/>
      <c r="BI216" s="265"/>
      <c r="BJ216" s="265"/>
      <c r="BK216" s="265"/>
      <c r="BL216" s="265"/>
      <c r="BM216" s="265"/>
      <c r="BN216" s="265"/>
      <c r="BO216" s="263"/>
      <c r="BP216" s="263"/>
      <c r="BQ216" s="263"/>
    </row>
    <row r="217" spans="7:69" x14ac:dyDescent="0.25">
      <c r="G217" s="9"/>
      <c r="H217" s="265"/>
      <c r="I217" s="275"/>
      <c r="J217" s="265"/>
      <c r="K217" s="265"/>
      <c r="L217" s="265"/>
      <c r="M217" s="265"/>
      <c r="N217" s="265"/>
      <c r="O217" s="265"/>
      <c r="P217" s="265"/>
      <c r="Q217" s="264"/>
      <c r="R217" s="264"/>
      <c r="S217" s="264"/>
      <c r="T217" s="264"/>
      <c r="U217" s="268"/>
      <c r="V217" s="269"/>
      <c r="W217" s="268"/>
      <c r="X217" s="270"/>
      <c r="Y217" s="269"/>
      <c r="Z217" s="269"/>
      <c r="AA217" s="264"/>
      <c r="AB217" s="264"/>
      <c r="AC217" s="264"/>
      <c r="AD217" s="264"/>
      <c r="AE217" s="264"/>
      <c r="AF217" s="264"/>
      <c r="AG217" s="269"/>
      <c r="AH217" s="268"/>
      <c r="AI217" s="264"/>
      <c r="AJ217" s="264"/>
      <c r="AK217" s="264"/>
      <c r="AL217" s="264"/>
      <c r="AM217" s="264"/>
      <c r="AN217" s="264"/>
      <c r="AO217" s="264"/>
      <c r="AP217" s="264"/>
      <c r="AQ217" s="264"/>
      <c r="AR217" s="264"/>
      <c r="AS217" s="264"/>
      <c r="AT217" s="264"/>
      <c r="AU217" s="264"/>
      <c r="AV217" s="264"/>
      <c r="AW217" s="264"/>
      <c r="AX217" s="264"/>
      <c r="AY217" s="264"/>
      <c r="AZ217" s="264"/>
      <c r="BA217" s="264"/>
      <c r="BB217" s="270"/>
      <c r="BC217" s="270"/>
      <c r="BD217" s="270"/>
      <c r="BE217" s="270"/>
      <c r="BF217" s="264"/>
      <c r="BG217" s="264"/>
      <c r="BH217" s="265"/>
      <c r="BI217" s="265"/>
      <c r="BJ217" s="265"/>
      <c r="BK217" s="265"/>
      <c r="BL217" s="265"/>
      <c r="BM217" s="265"/>
      <c r="BN217" s="265"/>
      <c r="BO217" s="263"/>
      <c r="BP217" s="263"/>
      <c r="BQ217" s="263"/>
    </row>
    <row r="218" spans="7:69" x14ac:dyDescent="0.25">
      <c r="G218" s="9"/>
      <c r="H218" s="265"/>
      <c r="I218" s="275"/>
      <c r="J218" s="265"/>
      <c r="K218" s="265"/>
      <c r="L218" s="265"/>
      <c r="M218" s="265"/>
      <c r="N218" s="265"/>
      <c r="O218" s="265"/>
      <c r="P218" s="265"/>
      <c r="Q218" s="264"/>
      <c r="R218" s="264"/>
      <c r="S218" s="264"/>
      <c r="T218" s="264"/>
      <c r="U218" s="268"/>
      <c r="V218" s="269"/>
      <c r="W218" s="268"/>
      <c r="X218" s="270"/>
      <c r="Y218" s="269"/>
      <c r="Z218" s="269"/>
      <c r="AA218" s="264"/>
      <c r="AB218" s="264"/>
      <c r="AC218" s="264"/>
      <c r="AD218" s="264"/>
      <c r="AE218" s="264"/>
      <c r="AF218" s="264"/>
      <c r="AG218" s="269"/>
      <c r="AH218" s="268"/>
      <c r="AI218" s="264"/>
      <c r="AJ218" s="264"/>
      <c r="AK218" s="264"/>
      <c r="AL218" s="264"/>
      <c r="AM218" s="264"/>
      <c r="AN218" s="264"/>
      <c r="AO218" s="264"/>
      <c r="AP218" s="264"/>
      <c r="AQ218" s="264"/>
      <c r="AR218" s="264"/>
      <c r="AS218" s="264"/>
      <c r="AT218" s="264"/>
      <c r="AU218" s="264"/>
      <c r="AV218" s="264"/>
      <c r="AW218" s="264"/>
      <c r="AX218" s="264"/>
      <c r="AY218" s="264"/>
      <c r="AZ218" s="264"/>
      <c r="BA218" s="264"/>
      <c r="BB218" s="270"/>
      <c r="BC218" s="270"/>
      <c r="BD218" s="270"/>
      <c r="BE218" s="270"/>
      <c r="BF218" s="264"/>
      <c r="BG218" s="264"/>
      <c r="BH218" s="265"/>
      <c r="BI218" s="265"/>
      <c r="BJ218" s="265"/>
      <c r="BK218" s="265"/>
      <c r="BL218" s="265"/>
      <c r="BM218" s="265"/>
      <c r="BN218" s="265"/>
      <c r="BO218" s="263"/>
      <c r="BP218" s="263"/>
      <c r="BQ218" s="263"/>
    </row>
    <row r="219" spans="7:69" x14ac:dyDescent="0.25">
      <c r="G219" s="9"/>
      <c r="H219" s="265"/>
      <c r="I219" s="275"/>
      <c r="J219" s="265"/>
      <c r="K219" s="265"/>
      <c r="L219" s="265"/>
      <c r="M219" s="265"/>
      <c r="N219" s="265"/>
      <c r="O219" s="265"/>
      <c r="P219" s="265"/>
      <c r="Q219" s="264"/>
      <c r="R219" s="264"/>
      <c r="S219" s="264"/>
      <c r="T219" s="264"/>
      <c r="U219" s="268"/>
      <c r="V219" s="269"/>
      <c r="W219" s="268"/>
      <c r="X219" s="270"/>
      <c r="Y219" s="269"/>
      <c r="Z219" s="269"/>
      <c r="AA219" s="264"/>
      <c r="AB219" s="264"/>
      <c r="AC219" s="264"/>
      <c r="AD219" s="264"/>
      <c r="AE219" s="264"/>
      <c r="AF219" s="264"/>
      <c r="AG219" s="269"/>
      <c r="AH219" s="268"/>
      <c r="AI219" s="264"/>
      <c r="AJ219" s="264"/>
      <c r="AK219" s="264"/>
      <c r="AL219" s="264"/>
      <c r="AM219" s="264"/>
      <c r="AN219" s="264"/>
      <c r="AO219" s="264"/>
      <c r="AP219" s="264"/>
      <c r="AQ219" s="264"/>
      <c r="AR219" s="264"/>
      <c r="AS219" s="264"/>
      <c r="AT219" s="264"/>
      <c r="AU219" s="264"/>
      <c r="AV219" s="264"/>
      <c r="AW219" s="264"/>
      <c r="AX219" s="264"/>
      <c r="AY219" s="264"/>
      <c r="AZ219" s="264"/>
      <c r="BA219" s="264"/>
      <c r="BB219" s="270"/>
      <c r="BC219" s="270"/>
      <c r="BD219" s="270"/>
      <c r="BE219" s="270"/>
      <c r="BF219" s="264"/>
      <c r="BG219" s="264"/>
      <c r="BH219" s="265"/>
      <c r="BI219" s="265"/>
      <c r="BJ219" s="265"/>
      <c r="BK219" s="265"/>
      <c r="BL219" s="265"/>
      <c r="BM219" s="265"/>
      <c r="BN219" s="265"/>
      <c r="BO219" s="263"/>
      <c r="BP219" s="263"/>
      <c r="BQ219" s="263"/>
    </row>
    <row r="220" spans="7:69" x14ac:dyDescent="0.25">
      <c r="G220" s="9"/>
      <c r="H220" s="265"/>
      <c r="I220" s="275"/>
      <c r="J220" s="265"/>
      <c r="K220" s="265"/>
      <c r="L220" s="265"/>
      <c r="M220" s="265"/>
      <c r="N220" s="265"/>
      <c r="O220" s="265"/>
      <c r="P220" s="265"/>
      <c r="Q220" s="264"/>
      <c r="R220" s="264"/>
      <c r="S220" s="264"/>
      <c r="T220" s="264"/>
      <c r="U220" s="268"/>
      <c r="V220" s="269"/>
      <c r="W220" s="268"/>
      <c r="X220" s="270"/>
      <c r="Y220" s="269"/>
      <c r="Z220" s="269"/>
      <c r="AA220" s="264"/>
      <c r="AB220" s="264"/>
      <c r="AC220" s="264"/>
      <c r="AD220" s="264"/>
      <c r="AE220" s="264"/>
      <c r="AF220" s="264"/>
      <c r="AG220" s="269"/>
      <c r="AH220" s="268"/>
      <c r="AI220" s="264"/>
      <c r="AJ220" s="264"/>
      <c r="AK220" s="264"/>
      <c r="AL220" s="264"/>
      <c r="AM220" s="264"/>
      <c r="AN220" s="264"/>
      <c r="AO220" s="264"/>
      <c r="AP220" s="264"/>
      <c r="AQ220" s="264"/>
      <c r="AR220" s="264"/>
      <c r="AS220" s="264"/>
      <c r="AT220" s="264"/>
      <c r="AU220" s="264"/>
      <c r="AV220" s="264"/>
      <c r="AW220" s="264"/>
      <c r="AX220" s="264"/>
      <c r="AY220" s="264"/>
      <c r="AZ220" s="264"/>
      <c r="BA220" s="264"/>
      <c r="BB220" s="270"/>
      <c r="BC220" s="270"/>
      <c r="BD220" s="270"/>
      <c r="BE220" s="270"/>
      <c r="BF220" s="264"/>
      <c r="BG220" s="264"/>
      <c r="BH220" s="265"/>
      <c r="BI220" s="265"/>
      <c r="BJ220" s="265"/>
      <c r="BK220" s="265"/>
      <c r="BL220" s="265"/>
      <c r="BM220" s="265"/>
      <c r="BN220" s="265"/>
      <c r="BO220" s="263"/>
      <c r="BP220" s="263"/>
      <c r="BQ220" s="263"/>
    </row>
    <row r="221" spans="7:69" x14ac:dyDescent="0.25">
      <c r="G221" s="9"/>
      <c r="H221" s="265"/>
      <c r="I221" s="275"/>
      <c r="J221" s="265"/>
      <c r="K221" s="265"/>
      <c r="L221" s="265"/>
      <c r="M221" s="265"/>
      <c r="N221" s="265"/>
      <c r="O221" s="265"/>
      <c r="P221" s="265"/>
      <c r="Q221" s="264"/>
      <c r="R221" s="264"/>
      <c r="S221" s="264"/>
      <c r="T221" s="264"/>
      <c r="U221" s="268"/>
      <c r="V221" s="269"/>
      <c r="W221" s="268"/>
      <c r="X221" s="270"/>
      <c r="Y221" s="269"/>
      <c r="Z221" s="269"/>
      <c r="AA221" s="264"/>
      <c r="AB221" s="264"/>
      <c r="AC221" s="264"/>
      <c r="AD221" s="264"/>
      <c r="AE221" s="264"/>
      <c r="AF221" s="264"/>
      <c r="AG221" s="269"/>
      <c r="AH221" s="268"/>
      <c r="AI221" s="264"/>
      <c r="AJ221" s="264"/>
      <c r="AK221" s="264"/>
      <c r="AL221" s="264"/>
      <c r="AM221" s="264"/>
      <c r="AN221" s="264"/>
      <c r="AO221" s="264"/>
      <c r="AP221" s="264"/>
      <c r="AQ221" s="264"/>
      <c r="AR221" s="264"/>
      <c r="AS221" s="264"/>
      <c r="AT221" s="264"/>
      <c r="AU221" s="264"/>
      <c r="AV221" s="264"/>
      <c r="AW221" s="264"/>
      <c r="AX221" s="264"/>
      <c r="AY221" s="264"/>
      <c r="AZ221" s="264"/>
      <c r="BA221" s="264"/>
      <c r="BB221" s="270"/>
      <c r="BC221" s="270"/>
      <c r="BD221" s="270"/>
      <c r="BE221" s="270"/>
      <c r="BF221" s="264"/>
      <c r="BG221" s="264"/>
      <c r="BH221" s="265"/>
      <c r="BI221" s="265"/>
      <c r="BJ221" s="265"/>
      <c r="BK221" s="265"/>
      <c r="BL221" s="265"/>
      <c r="BM221" s="265"/>
      <c r="BN221" s="265"/>
      <c r="BO221" s="263"/>
      <c r="BP221" s="263"/>
      <c r="BQ221" s="263"/>
    </row>
    <row r="222" spans="7:69" x14ac:dyDescent="0.25">
      <c r="G222" s="9"/>
      <c r="H222" s="265"/>
      <c r="I222" s="275"/>
      <c r="J222" s="265"/>
      <c r="K222" s="265"/>
      <c r="L222" s="265"/>
      <c r="M222" s="265"/>
      <c r="N222" s="265"/>
      <c r="O222" s="265"/>
      <c r="P222" s="265"/>
      <c r="Q222" s="264"/>
      <c r="R222" s="264"/>
      <c r="S222" s="264"/>
      <c r="T222" s="264"/>
      <c r="U222" s="268"/>
      <c r="V222" s="269"/>
      <c r="W222" s="268"/>
      <c r="X222" s="270"/>
      <c r="Y222" s="269"/>
      <c r="Z222" s="269"/>
      <c r="AA222" s="264"/>
      <c r="AB222" s="264"/>
      <c r="AC222" s="264"/>
      <c r="AD222" s="264"/>
      <c r="AE222" s="264"/>
      <c r="AF222" s="264"/>
      <c r="AG222" s="269"/>
      <c r="AH222" s="268"/>
      <c r="AI222" s="264"/>
      <c r="AJ222" s="264"/>
      <c r="AK222" s="264"/>
      <c r="AL222" s="264"/>
      <c r="AM222" s="264"/>
      <c r="AN222" s="264"/>
      <c r="AO222" s="264"/>
      <c r="AP222" s="264"/>
      <c r="AQ222" s="264"/>
      <c r="AR222" s="264"/>
      <c r="AS222" s="264"/>
      <c r="AT222" s="264"/>
      <c r="AU222" s="264"/>
      <c r="AV222" s="264"/>
      <c r="AW222" s="264"/>
      <c r="AX222" s="264"/>
      <c r="AY222" s="264"/>
      <c r="AZ222" s="264"/>
      <c r="BA222" s="264"/>
      <c r="BB222" s="270"/>
      <c r="BC222" s="270"/>
      <c r="BD222" s="270"/>
      <c r="BE222" s="270"/>
      <c r="BF222" s="264"/>
      <c r="BG222" s="264"/>
      <c r="BH222" s="265"/>
      <c r="BI222" s="265"/>
      <c r="BJ222" s="265"/>
      <c r="BK222" s="265"/>
      <c r="BL222" s="265"/>
      <c r="BM222" s="265"/>
      <c r="BN222" s="265"/>
      <c r="BO222" s="263"/>
      <c r="BP222" s="263"/>
      <c r="BQ222" s="263"/>
    </row>
    <row r="223" spans="7:69" x14ac:dyDescent="0.25">
      <c r="G223" s="9"/>
      <c r="H223" s="265"/>
      <c r="I223" s="275"/>
      <c r="J223" s="265"/>
      <c r="K223" s="265"/>
      <c r="L223" s="265"/>
      <c r="M223" s="265"/>
      <c r="N223" s="265"/>
      <c r="O223" s="265"/>
      <c r="P223" s="265"/>
      <c r="Q223" s="264"/>
      <c r="R223" s="264"/>
      <c r="S223" s="264"/>
      <c r="T223" s="264"/>
      <c r="U223" s="268"/>
      <c r="V223" s="269"/>
      <c r="W223" s="268"/>
      <c r="X223" s="270"/>
      <c r="Y223" s="269"/>
      <c r="Z223" s="269"/>
      <c r="AA223" s="264"/>
      <c r="AB223" s="264"/>
      <c r="AC223" s="264"/>
      <c r="AD223" s="264"/>
      <c r="AE223" s="264"/>
      <c r="AF223" s="264"/>
      <c r="AG223" s="269"/>
      <c r="AH223" s="268"/>
      <c r="AI223" s="264"/>
      <c r="AJ223" s="264"/>
      <c r="AK223" s="264"/>
      <c r="AL223" s="264"/>
      <c r="AM223" s="264"/>
      <c r="AN223" s="264"/>
      <c r="AO223" s="264"/>
      <c r="AP223" s="264"/>
      <c r="AQ223" s="264"/>
      <c r="AR223" s="264"/>
      <c r="AS223" s="264"/>
      <c r="AT223" s="264"/>
      <c r="AU223" s="264"/>
      <c r="AV223" s="264"/>
      <c r="AW223" s="264"/>
      <c r="AX223" s="264"/>
      <c r="AY223" s="264"/>
      <c r="AZ223" s="264"/>
      <c r="BA223" s="264"/>
      <c r="BB223" s="270"/>
      <c r="BC223" s="270"/>
      <c r="BD223" s="270"/>
      <c r="BE223" s="270"/>
      <c r="BF223" s="264"/>
      <c r="BG223" s="264"/>
      <c r="BH223" s="265"/>
      <c r="BI223" s="265"/>
      <c r="BJ223" s="265"/>
      <c r="BK223" s="265"/>
      <c r="BL223" s="265"/>
      <c r="BM223" s="265"/>
      <c r="BN223" s="265"/>
      <c r="BO223" s="263"/>
      <c r="BP223" s="263"/>
      <c r="BQ223" s="263"/>
    </row>
    <row r="224" spans="7:69" x14ac:dyDescent="0.25">
      <c r="G224" s="9"/>
      <c r="H224" s="265"/>
      <c r="I224" s="275"/>
      <c r="J224" s="265"/>
      <c r="K224" s="265"/>
      <c r="L224" s="265"/>
      <c r="M224" s="265"/>
      <c r="N224" s="265"/>
      <c r="O224" s="265"/>
      <c r="P224" s="265"/>
      <c r="Q224" s="264"/>
      <c r="R224" s="264"/>
      <c r="S224" s="264"/>
      <c r="T224" s="264"/>
      <c r="U224" s="268"/>
      <c r="V224" s="269"/>
      <c r="W224" s="268"/>
      <c r="X224" s="270"/>
      <c r="Y224" s="269"/>
      <c r="Z224" s="269"/>
      <c r="AA224" s="264"/>
      <c r="AB224" s="264"/>
      <c r="AC224" s="264"/>
      <c r="AD224" s="264"/>
      <c r="AE224" s="264"/>
      <c r="AF224" s="264"/>
      <c r="AG224" s="269"/>
      <c r="AH224" s="268"/>
      <c r="AI224" s="264"/>
      <c r="AJ224" s="264"/>
      <c r="AK224" s="264"/>
      <c r="AL224" s="264"/>
      <c r="AM224" s="264"/>
      <c r="AN224" s="264"/>
      <c r="AO224" s="264"/>
      <c r="AP224" s="264"/>
      <c r="AQ224" s="264"/>
      <c r="AR224" s="264"/>
      <c r="AS224" s="264"/>
      <c r="AT224" s="264"/>
      <c r="AU224" s="264"/>
      <c r="AV224" s="264"/>
      <c r="AW224" s="264"/>
      <c r="AX224" s="264"/>
      <c r="AY224" s="264"/>
      <c r="AZ224" s="264"/>
      <c r="BA224" s="264"/>
      <c r="BB224" s="270"/>
      <c r="BC224" s="270"/>
      <c r="BD224" s="270"/>
      <c r="BE224" s="270"/>
      <c r="BF224" s="264"/>
      <c r="BG224" s="264"/>
      <c r="BH224" s="265"/>
      <c r="BI224" s="265"/>
      <c r="BJ224" s="265"/>
      <c r="BK224" s="265"/>
      <c r="BL224" s="265"/>
      <c r="BM224" s="265"/>
      <c r="BN224" s="265"/>
      <c r="BO224" s="263"/>
      <c r="BP224" s="263"/>
      <c r="BQ224" s="263"/>
    </row>
    <row r="225" spans="6:69" x14ac:dyDescent="0.25">
      <c r="G225" s="9"/>
      <c r="H225" s="265"/>
      <c r="I225" s="275"/>
      <c r="J225" s="265"/>
      <c r="K225" s="265"/>
      <c r="L225" s="265"/>
      <c r="M225" s="265"/>
      <c r="N225" s="265"/>
      <c r="O225" s="265"/>
      <c r="P225" s="265"/>
      <c r="Q225" s="264"/>
      <c r="R225" s="264"/>
      <c r="S225" s="264"/>
      <c r="T225" s="264"/>
      <c r="U225" s="268"/>
      <c r="V225" s="269"/>
      <c r="W225" s="268"/>
      <c r="X225" s="270"/>
      <c r="Y225" s="269"/>
      <c r="Z225" s="269"/>
      <c r="AA225" s="264"/>
      <c r="AB225" s="264"/>
      <c r="AC225" s="264"/>
      <c r="AD225" s="264"/>
      <c r="AE225" s="264"/>
      <c r="AF225" s="264"/>
      <c r="AG225" s="269"/>
      <c r="AH225" s="268"/>
      <c r="AI225" s="264"/>
      <c r="AJ225" s="264"/>
      <c r="AK225" s="264"/>
      <c r="AL225" s="264"/>
      <c r="AM225" s="264"/>
      <c r="AN225" s="264"/>
      <c r="AO225" s="264"/>
      <c r="AP225" s="264"/>
      <c r="AQ225" s="264"/>
      <c r="AR225" s="264"/>
      <c r="AS225" s="264"/>
      <c r="AT225" s="264"/>
      <c r="AU225" s="264"/>
      <c r="AV225" s="264"/>
      <c r="AW225" s="264"/>
      <c r="AX225" s="264"/>
      <c r="AY225" s="264"/>
      <c r="AZ225" s="264"/>
      <c r="BA225" s="264"/>
      <c r="BB225" s="270"/>
      <c r="BC225" s="270"/>
      <c r="BD225" s="270"/>
      <c r="BE225" s="270"/>
      <c r="BF225" s="264"/>
      <c r="BG225" s="264"/>
      <c r="BH225" s="265"/>
      <c r="BI225" s="265"/>
      <c r="BJ225" s="265"/>
      <c r="BK225" s="265"/>
      <c r="BL225" s="265"/>
      <c r="BM225" s="265"/>
      <c r="BN225" s="265"/>
      <c r="BO225" s="263"/>
      <c r="BP225" s="263"/>
      <c r="BQ225" s="263"/>
    </row>
    <row r="226" spans="6:69" x14ac:dyDescent="0.25">
      <c r="G226" s="9"/>
      <c r="H226" s="265"/>
      <c r="I226" s="275"/>
      <c r="J226" s="265"/>
      <c r="K226" s="265"/>
      <c r="L226" s="265"/>
      <c r="M226" s="265"/>
      <c r="N226" s="265"/>
      <c r="O226" s="265"/>
      <c r="P226" s="265"/>
      <c r="Q226" s="264"/>
      <c r="R226" s="264"/>
      <c r="S226" s="264"/>
      <c r="T226" s="264"/>
      <c r="U226" s="268"/>
      <c r="V226" s="269"/>
      <c r="W226" s="268"/>
      <c r="X226" s="270"/>
      <c r="Y226" s="269"/>
      <c r="Z226" s="269"/>
      <c r="AA226" s="264"/>
      <c r="AB226" s="264"/>
      <c r="AC226" s="264"/>
      <c r="AD226" s="264"/>
      <c r="AE226" s="264"/>
      <c r="AF226" s="264"/>
      <c r="AG226" s="269"/>
      <c r="AH226" s="268"/>
      <c r="AI226" s="264"/>
      <c r="AJ226" s="264"/>
      <c r="AK226" s="264"/>
      <c r="AL226" s="264"/>
      <c r="AM226" s="264"/>
      <c r="AN226" s="264"/>
      <c r="AO226" s="264"/>
      <c r="AP226" s="264"/>
      <c r="AQ226" s="264"/>
      <c r="AR226" s="264"/>
      <c r="AS226" s="264"/>
      <c r="AT226" s="264"/>
      <c r="AU226" s="264"/>
      <c r="AV226" s="264"/>
      <c r="AW226" s="264"/>
      <c r="AX226" s="264"/>
      <c r="AY226" s="264"/>
      <c r="AZ226" s="264"/>
      <c r="BA226" s="264"/>
      <c r="BB226" s="270"/>
      <c r="BC226" s="270"/>
      <c r="BD226" s="270"/>
      <c r="BE226" s="270"/>
      <c r="BF226" s="264"/>
      <c r="BG226" s="264"/>
      <c r="BH226" s="265"/>
      <c r="BI226" s="265"/>
      <c r="BJ226" s="265"/>
      <c r="BK226" s="265"/>
      <c r="BL226" s="265"/>
      <c r="BM226" s="265"/>
      <c r="BN226" s="265"/>
      <c r="BO226" s="263"/>
      <c r="BP226" s="263"/>
      <c r="BQ226" s="263"/>
    </row>
    <row r="227" spans="6:69" x14ac:dyDescent="0.25">
      <c r="G227" s="9"/>
      <c r="H227" s="265"/>
      <c r="I227" s="275"/>
      <c r="J227" s="265"/>
      <c r="K227" s="265"/>
      <c r="L227" s="265"/>
      <c r="M227" s="265"/>
      <c r="N227" s="265"/>
      <c r="O227" s="265"/>
      <c r="P227" s="265"/>
      <c r="Q227" s="264"/>
      <c r="R227" s="264"/>
      <c r="S227" s="264"/>
      <c r="T227" s="264"/>
      <c r="U227" s="268"/>
      <c r="V227" s="269"/>
      <c r="W227" s="268"/>
      <c r="X227" s="270"/>
      <c r="Y227" s="269"/>
      <c r="Z227" s="269"/>
      <c r="AA227" s="264"/>
      <c r="AB227" s="264"/>
      <c r="AC227" s="264"/>
      <c r="AD227" s="264"/>
      <c r="AE227" s="264"/>
      <c r="AF227" s="264"/>
      <c r="AG227" s="269"/>
      <c r="AH227" s="268"/>
      <c r="AI227" s="264"/>
      <c r="AJ227" s="264"/>
      <c r="AK227" s="264"/>
      <c r="AL227" s="264"/>
      <c r="AM227" s="264"/>
      <c r="AN227" s="264"/>
      <c r="AO227" s="264"/>
      <c r="AP227" s="264"/>
      <c r="AQ227" s="264"/>
      <c r="AR227" s="264"/>
      <c r="AS227" s="264"/>
      <c r="AT227" s="264"/>
      <c r="AU227" s="264"/>
      <c r="AV227" s="264"/>
      <c r="AW227" s="264"/>
      <c r="AX227" s="264"/>
      <c r="AY227" s="264"/>
      <c r="AZ227" s="264"/>
      <c r="BA227" s="264"/>
      <c r="BB227" s="270"/>
      <c r="BC227" s="270"/>
      <c r="BD227" s="270"/>
      <c r="BE227" s="270"/>
      <c r="BF227" s="264"/>
      <c r="BG227" s="264"/>
      <c r="BH227" s="265"/>
      <c r="BI227" s="265"/>
      <c r="BJ227" s="265"/>
      <c r="BK227" s="265"/>
      <c r="BL227" s="265"/>
      <c r="BM227" s="265"/>
      <c r="BN227" s="265"/>
      <c r="BO227" s="263"/>
      <c r="BP227" s="263"/>
      <c r="BQ227" s="263"/>
    </row>
    <row r="228" spans="6:69" x14ac:dyDescent="0.25">
      <c r="G228" s="9"/>
      <c r="H228" s="265"/>
      <c r="I228" s="275"/>
      <c r="J228" s="265"/>
      <c r="K228" s="265"/>
      <c r="L228" s="265"/>
      <c r="M228" s="265"/>
      <c r="N228" s="265"/>
      <c r="O228" s="265"/>
      <c r="P228" s="265"/>
      <c r="Q228" s="264"/>
      <c r="R228" s="264"/>
      <c r="S228" s="264"/>
      <c r="T228" s="264"/>
      <c r="U228" s="268"/>
      <c r="V228" s="269"/>
      <c r="W228" s="268"/>
      <c r="X228" s="270"/>
      <c r="Y228" s="269"/>
      <c r="Z228" s="269"/>
      <c r="AA228" s="264"/>
      <c r="AB228" s="264"/>
      <c r="AC228" s="264"/>
      <c r="AD228" s="264"/>
      <c r="AE228" s="264"/>
      <c r="AF228" s="264"/>
      <c r="AG228" s="269"/>
      <c r="AH228" s="268"/>
      <c r="AI228" s="264"/>
      <c r="AJ228" s="264"/>
      <c r="AK228" s="264"/>
      <c r="AL228" s="264"/>
      <c r="AM228" s="264"/>
      <c r="AN228" s="264"/>
      <c r="AO228" s="264"/>
      <c r="AP228" s="264"/>
      <c r="AQ228" s="264"/>
      <c r="AR228" s="264"/>
      <c r="AS228" s="264"/>
      <c r="AT228" s="264"/>
      <c r="AU228" s="264"/>
      <c r="AV228" s="264"/>
      <c r="AW228" s="264"/>
      <c r="AX228" s="264"/>
      <c r="AY228" s="264"/>
      <c r="AZ228" s="264"/>
      <c r="BA228" s="264"/>
      <c r="BB228" s="270"/>
      <c r="BC228" s="270"/>
      <c r="BD228" s="270"/>
      <c r="BE228" s="270"/>
      <c r="BF228" s="264"/>
      <c r="BG228" s="264"/>
      <c r="BH228" s="265"/>
      <c r="BI228" s="265"/>
      <c r="BJ228" s="265"/>
      <c r="BK228" s="265"/>
      <c r="BL228" s="265"/>
      <c r="BM228" s="265"/>
      <c r="BN228" s="265"/>
      <c r="BO228" s="263"/>
      <c r="BP228" s="263"/>
      <c r="BQ228" s="263"/>
    </row>
    <row r="229" spans="6:69" x14ac:dyDescent="0.25">
      <c r="G229" s="9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  <c r="AG229" s="265"/>
      <c r="AH229" s="265"/>
      <c r="AI229" s="265"/>
      <c r="AJ229" s="265"/>
      <c r="AK229" s="265"/>
      <c r="AL229" s="265"/>
      <c r="AM229" s="265"/>
      <c r="AN229" s="265"/>
      <c r="AO229" s="265"/>
      <c r="AP229" s="265"/>
      <c r="AQ229" s="265"/>
      <c r="AR229" s="265"/>
      <c r="AS229" s="265"/>
      <c r="AT229" s="265"/>
      <c r="AU229" s="265"/>
      <c r="AV229" s="265"/>
      <c r="AW229" s="265"/>
      <c r="AX229" s="265"/>
      <c r="AY229" s="265"/>
      <c r="AZ229" s="265"/>
      <c r="BA229" s="265"/>
      <c r="BB229" s="265"/>
      <c r="BC229" s="265"/>
      <c r="BD229" s="265"/>
      <c r="BE229" s="265"/>
      <c r="BF229" s="265"/>
      <c r="BG229" s="265"/>
      <c r="BH229" s="265"/>
      <c r="BI229" s="265"/>
      <c r="BJ229" s="265"/>
      <c r="BK229" s="265"/>
      <c r="BL229" s="265"/>
      <c r="BM229" s="265"/>
      <c r="BN229" s="265"/>
      <c r="BO229" s="263"/>
      <c r="BP229" s="263"/>
      <c r="BQ229" s="263"/>
    </row>
    <row r="230" spans="6:69" x14ac:dyDescent="0.25">
      <c r="G230" s="9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  <c r="AG230" s="265"/>
      <c r="AH230" s="265"/>
      <c r="AI230" s="265"/>
      <c r="AJ230" s="265"/>
      <c r="AK230" s="265"/>
      <c r="AL230" s="265"/>
      <c r="AM230" s="265"/>
      <c r="AN230" s="265"/>
      <c r="AO230" s="265"/>
      <c r="AP230" s="265"/>
      <c r="AQ230" s="265"/>
      <c r="AR230" s="265"/>
      <c r="AS230" s="265"/>
      <c r="AT230" s="265"/>
      <c r="AU230" s="265"/>
      <c r="AV230" s="265"/>
      <c r="AW230" s="265"/>
      <c r="AX230" s="265"/>
      <c r="AY230" s="265"/>
      <c r="AZ230" s="265"/>
      <c r="BA230" s="265"/>
      <c r="BB230" s="265"/>
      <c r="BC230" s="265"/>
      <c r="BD230" s="265"/>
      <c r="BE230" s="265"/>
      <c r="BF230" s="265"/>
      <c r="BG230" s="265"/>
      <c r="BH230" s="265"/>
      <c r="BI230" s="265"/>
      <c r="BJ230" s="265"/>
      <c r="BK230" s="265"/>
      <c r="BL230" s="265"/>
      <c r="BM230" s="265"/>
      <c r="BN230" s="265"/>
      <c r="BO230" s="263"/>
      <c r="BP230" s="263"/>
      <c r="BQ230" s="263"/>
    </row>
    <row r="231" spans="6:69" x14ac:dyDescent="0.25">
      <c r="G231" s="9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  <c r="AG231" s="265"/>
      <c r="AH231" s="265"/>
      <c r="AI231" s="265"/>
      <c r="AJ231" s="265"/>
      <c r="AK231" s="265"/>
      <c r="AL231" s="265"/>
      <c r="AM231" s="265"/>
      <c r="AN231" s="265"/>
      <c r="AO231" s="265"/>
      <c r="AP231" s="265"/>
      <c r="AQ231" s="265"/>
      <c r="AR231" s="265"/>
      <c r="AS231" s="265"/>
      <c r="AT231" s="265"/>
      <c r="AU231" s="265"/>
      <c r="AV231" s="265"/>
      <c r="AW231" s="265"/>
      <c r="AX231" s="265"/>
      <c r="AY231" s="265"/>
      <c r="AZ231" s="265"/>
      <c r="BA231" s="265"/>
      <c r="BB231" s="265"/>
      <c r="BC231" s="265"/>
      <c r="BD231" s="265"/>
      <c r="BE231" s="265"/>
      <c r="BF231" s="265"/>
      <c r="BG231" s="265"/>
      <c r="BH231" s="265"/>
      <c r="BI231" s="265"/>
      <c r="BJ231" s="265"/>
      <c r="BK231" s="265"/>
      <c r="BL231" s="265"/>
      <c r="BM231" s="265"/>
      <c r="BN231" s="265"/>
      <c r="BO231" s="263"/>
      <c r="BP231" s="263"/>
      <c r="BQ231" s="263"/>
    </row>
    <row r="232" spans="6:69" x14ac:dyDescent="0.25">
      <c r="G232" s="9"/>
      <c r="H232" s="265"/>
      <c r="I232" s="281"/>
      <c r="J232" s="281"/>
      <c r="K232" s="281"/>
      <c r="L232" s="281"/>
      <c r="M232" s="281"/>
      <c r="N232" s="282"/>
      <c r="O232" s="282"/>
      <c r="P232" s="282"/>
      <c r="Q232" s="282"/>
      <c r="R232" s="282"/>
      <c r="S232" s="282"/>
      <c r="T232" s="282"/>
      <c r="U232" s="281"/>
      <c r="V232" s="282"/>
      <c r="W232" s="282"/>
      <c r="X232" s="282"/>
      <c r="Y232" s="282"/>
      <c r="Z232" s="282"/>
      <c r="AA232" s="282"/>
      <c r="AB232" s="282"/>
      <c r="AC232" s="282"/>
      <c r="AD232" s="282"/>
      <c r="AE232" s="271"/>
      <c r="AF232" s="271"/>
      <c r="AG232" s="281"/>
      <c r="AH232" s="281"/>
      <c r="AI232" s="281"/>
      <c r="AJ232" s="281"/>
      <c r="AK232" s="281"/>
      <c r="AL232" s="281"/>
      <c r="AM232" s="281"/>
      <c r="AN232" s="281"/>
      <c r="AO232" s="271"/>
      <c r="AP232" s="271"/>
      <c r="AQ232" s="281"/>
      <c r="AR232" s="281"/>
      <c r="AS232" s="281"/>
      <c r="AT232" s="281"/>
      <c r="AU232" s="281"/>
      <c r="AV232" s="281"/>
      <c r="AW232" s="281"/>
      <c r="AX232" s="281"/>
      <c r="AY232" s="281"/>
      <c r="AZ232" s="281"/>
      <c r="BA232" s="281"/>
      <c r="BB232" s="281"/>
      <c r="BC232" s="281"/>
      <c r="BD232" s="281"/>
      <c r="BE232" s="281"/>
      <c r="BF232" s="281"/>
      <c r="BG232" s="281"/>
      <c r="BH232" s="265"/>
      <c r="BI232" s="265"/>
      <c r="BJ232" s="265"/>
      <c r="BK232" s="265"/>
      <c r="BL232" s="265"/>
      <c r="BM232" s="265"/>
      <c r="BN232" s="265"/>
      <c r="BO232" s="263"/>
      <c r="BP232" s="263"/>
      <c r="BQ232" s="263"/>
    </row>
    <row r="233" spans="6:69" x14ac:dyDescent="0.25">
      <c r="F233" s="9"/>
      <c r="G233" s="9"/>
      <c r="H233" s="265"/>
      <c r="I233" s="275"/>
      <c r="J233" s="266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267"/>
      <c r="AE233" s="267"/>
      <c r="AF233" s="267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65"/>
      <c r="BI233" s="265"/>
      <c r="BJ233" s="265"/>
      <c r="BK233" s="265"/>
      <c r="BL233" s="265"/>
      <c r="BM233" s="265"/>
      <c r="BN233" s="265"/>
      <c r="BO233" s="263"/>
      <c r="BP233" s="263"/>
      <c r="BQ233" s="263"/>
    </row>
    <row r="234" spans="6:69" x14ac:dyDescent="0.25">
      <c r="F234" s="9"/>
      <c r="G234" s="9"/>
      <c r="H234" s="265"/>
      <c r="I234" s="275"/>
      <c r="J234" s="265"/>
      <c r="K234" s="265"/>
      <c r="L234" s="265"/>
      <c r="M234" s="265"/>
      <c r="N234" s="265"/>
      <c r="O234" s="265"/>
      <c r="P234" s="265"/>
      <c r="Q234" s="264"/>
      <c r="R234" s="264"/>
      <c r="S234" s="264"/>
      <c r="T234" s="264"/>
      <c r="U234" s="268"/>
      <c r="V234" s="269"/>
      <c r="W234" s="268"/>
      <c r="X234" s="270"/>
      <c r="Y234" s="269"/>
      <c r="Z234" s="269"/>
      <c r="AA234" s="264"/>
      <c r="AB234" s="264"/>
      <c r="AC234" s="264"/>
      <c r="AD234" s="264"/>
      <c r="AE234" s="264"/>
      <c r="AF234" s="264"/>
      <c r="AG234" s="269"/>
      <c r="AH234" s="268"/>
      <c r="AI234" s="264"/>
      <c r="AJ234" s="264"/>
      <c r="AK234" s="264"/>
      <c r="AL234" s="264"/>
      <c r="AM234" s="264"/>
      <c r="AN234" s="264"/>
      <c r="AO234" s="264"/>
      <c r="AP234" s="264"/>
      <c r="AQ234" s="264"/>
      <c r="AR234" s="264"/>
      <c r="AS234" s="264"/>
      <c r="AT234" s="264"/>
      <c r="AU234" s="264"/>
      <c r="AV234" s="264"/>
      <c r="AW234" s="264"/>
      <c r="AX234" s="264"/>
      <c r="AY234" s="264"/>
      <c r="AZ234" s="264"/>
      <c r="BA234" s="264"/>
      <c r="BB234" s="264"/>
      <c r="BC234" s="264"/>
      <c r="BD234" s="264"/>
      <c r="BE234" s="264"/>
      <c r="BF234" s="264"/>
      <c r="BG234" s="264"/>
      <c r="BH234" s="265"/>
      <c r="BI234" s="265"/>
      <c r="BJ234" s="265"/>
      <c r="BK234" s="265"/>
      <c r="BL234" s="265"/>
      <c r="BM234" s="265"/>
      <c r="BN234" s="265"/>
      <c r="BO234" s="263"/>
      <c r="BP234" s="263"/>
      <c r="BQ234" s="263"/>
    </row>
    <row r="235" spans="6:69" x14ac:dyDescent="0.25">
      <c r="F235" s="9"/>
      <c r="G235" s="9"/>
      <c r="H235" s="265"/>
      <c r="I235" s="275"/>
      <c r="J235" s="265"/>
      <c r="K235" s="265"/>
      <c r="L235" s="265"/>
      <c r="M235" s="265"/>
      <c r="N235" s="265"/>
      <c r="O235" s="265"/>
      <c r="P235" s="265"/>
      <c r="Q235" s="264"/>
      <c r="R235" s="264"/>
      <c r="S235" s="264"/>
      <c r="T235" s="264"/>
      <c r="U235" s="268"/>
      <c r="V235" s="269"/>
      <c r="W235" s="268"/>
      <c r="X235" s="270"/>
      <c r="Y235" s="269"/>
      <c r="Z235" s="269"/>
      <c r="AA235" s="264"/>
      <c r="AB235" s="264"/>
      <c r="AC235" s="264"/>
      <c r="AD235" s="264"/>
      <c r="AE235" s="264"/>
      <c r="AF235" s="264"/>
      <c r="AG235" s="269"/>
      <c r="AH235" s="268"/>
      <c r="AI235" s="264"/>
      <c r="AJ235" s="264"/>
      <c r="AK235" s="264"/>
      <c r="AL235" s="264"/>
      <c r="AM235" s="264"/>
      <c r="AN235" s="264"/>
      <c r="AO235" s="264"/>
      <c r="AP235" s="264"/>
      <c r="AQ235" s="264"/>
      <c r="AR235" s="264"/>
      <c r="AS235" s="264"/>
      <c r="AT235" s="264"/>
      <c r="AU235" s="264"/>
      <c r="AV235" s="264"/>
      <c r="AW235" s="264"/>
      <c r="AX235" s="264"/>
      <c r="AY235" s="264"/>
      <c r="AZ235" s="264"/>
      <c r="BA235" s="264"/>
      <c r="BB235" s="270"/>
      <c r="BC235" s="270"/>
      <c r="BD235" s="270"/>
      <c r="BE235" s="270"/>
      <c r="BF235" s="264"/>
      <c r="BG235" s="264"/>
      <c r="BH235" s="265"/>
      <c r="BI235" s="265"/>
      <c r="BJ235" s="265"/>
      <c r="BK235" s="265"/>
      <c r="BL235" s="265"/>
      <c r="BM235" s="265"/>
      <c r="BN235" s="265"/>
      <c r="BO235" s="263"/>
      <c r="BP235" s="263"/>
      <c r="BQ235" s="263"/>
    </row>
    <row r="236" spans="6:69" x14ac:dyDescent="0.25">
      <c r="F236" s="9"/>
      <c r="G236" s="9"/>
      <c r="H236" s="265"/>
      <c r="I236" s="275"/>
      <c r="J236" s="265"/>
      <c r="K236" s="265"/>
      <c r="L236" s="265"/>
      <c r="M236" s="265"/>
      <c r="N236" s="265"/>
      <c r="O236" s="265"/>
      <c r="P236" s="265"/>
      <c r="Q236" s="264"/>
      <c r="R236" s="264"/>
      <c r="S236" s="264"/>
      <c r="T236" s="264"/>
      <c r="U236" s="268"/>
      <c r="V236" s="269"/>
      <c r="W236" s="268"/>
      <c r="X236" s="270"/>
      <c r="Y236" s="269"/>
      <c r="Z236" s="269"/>
      <c r="AA236" s="264"/>
      <c r="AB236" s="264"/>
      <c r="AC236" s="264"/>
      <c r="AD236" s="264"/>
      <c r="AE236" s="264"/>
      <c r="AF236" s="264"/>
      <c r="AG236" s="269"/>
      <c r="AH236" s="268"/>
      <c r="AI236" s="264"/>
      <c r="AJ236" s="264"/>
      <c r="AK236" s="264"/>
      <c r="AL236" s="264"/>
      <c r="AM236" s="264"/>
      <c r="AN236" s="264"/>
      <c r="AO236" s="264"/>
      <c r="AP236" s="264"/>
      <c r="AQ236" s="264"/>
      <c r="AR236" s="264"/>
      <c r="AS236" s="264"/>
      <c r="AT236" s="264"/>
      <c r="AU236" s="264"/>
      <c r="AV236" s="264"/>
      <c r="AW236" s="264"/>
      <c r="AX236" s="264"/>
      <c r="AY236" s="264"/>
      <c r="AZ236" s="264"/>
      <c r="BA236" s="264"/>
      <c r="BB236" s="270"/>
      <c r="BC236" s="270"/>
      <c r="BD236" s="270"/>
      <c r="BE236" s="270"/>
      <c r="BF236" s="264"/>
      <c r="BG236" s="264"/>
      <c r="BH236" s="265"/>
      <c r="BI236" s="265"/>
      <c r="BJ236" s="265"/>
      <c r="BK236" s="265"/>
      <c r="BL236" s="265"/>
      <c r="BM236" s="265"/>
      <c r="BN236" s="265"/>
      <c r="BO236" s="263"/>
      <c r="BP236" s="263"/>
      <c r="BQ236" s="263"/>
    </row>
    <row r="237" spans="6:69" x14ac:dyDescent="0.25">
      <c r="F237" s="9"/>
      <c r="G237" s="9"/>
      <c r="H237" s="265"/>
      <c r="I237" s="275"/>
      <c r="J237" s="265"/>
      <c r="K237" s="265"/>
      <c r="L237" s="265"/>
      <c r="M237" s="265"/>
      <c r="N237" s="265"/>
      <c r="O237" s="265"/>
      <c r="P237" s="265"/>
      <c r="Q237" s="264"/>
      <c r="R237" s="264"/>
      <c r="S237" s="264"/>
      <c r="T237" s="264"/>
      <c r="U237" s="268"/>
      <c r="V237" s="269"/>
      <c r="W237" s="268"/>
      <c r="X237" s="270"/>
      <c r="Y237" s="269"/>
      <c r="Z237" s="269"/>
      <c r="AA237" s="264"/>
      <c r="AB237" s="264"/>
      <c r="AC237" s="264"/>
      <c r="AD237" s="264"/>
      <c r="AE237" s="264"/>
      <c r="AF237" s="264"/>
      <c r="AG237" s="269"/>
      <c r="AH237" s="268"/>
      <c r="AI237" s="264"/>
      <c r="AJ237" s="264"/>
      <c r="AK237" s="264"/>
      <c r="AL237" s="264"/>
      <c r="AM237" s="264"/>
      <c r="AN237" s="264"/>
      <c r="AO237" s="264"/>
      <c r="AP237" s="264"/>
      <c r="AQ237" s="264"/>
      <c r="AR237" s="264"/>
      <c r="AS237" s="264"/>
      <c r="AT237" s="264"/>
      <c r="AU237" s="264"/>
      <c r="AV237" s="264"/>
      <c r="AW237" s="264"/>
      <c r="AX237" s="264"/>
      <c r="AY237" s="264"/>
      <c r="AZ237" s="264"/>
      <c r="BA237" s="264"/>
      <c r="BB237" s="270"/>
      <c r="BC237" s="270"/>
      <c r="BD237" s="270"/>
      <c r="BE237" s="270"/>
      <c r="BF237" s="264"/>
      <c r="BG237" s="264"/>
      <c r="BH237" s="265"/>
      <c r="BI237" s="265"/>
      <c r="BJ237" s="265"/>
      <c r="BK237" s="265"/>
      <c r="BL237" s="265"/>
      <c r="BM237" s="265"/>
      <c r="BN237" s="265"/>
      <c r="BO237" s="263"/>
      <c r="BP237" s="263"/>
      <c r="BQ237" s="263"/>
    </row>
    <row r="238" spans="6:69" x14ac:dyDescent="0.25">
      <c r="F238" s="9"/>
      <c r="G238" s="9"/>
      <c r="H238" s="265"/>
      <c r="I238" s="275"/>
      <c r="J238" s="265"/>
      <c r="K238" s="265"/>
      <c r="L238" s="265"/>
      <c r="M238" s="265"/>
      <c r="N238" s="265"/>
      <c r="O238" s="265"/>
      <c r="P238" s="265"/>
      <c r="Q238" s="264"/>
      <c r="R238" s="264"/>
      <c r="S238" s="264"/>
      <c r="T238" s="264"/>
      <c r="U238" s="268"/>
      <c r="V238" s="269"/>
      <c r="W238" s="268"/>
      <c r="X238" s="270"/>
      <c r="Y238" s="269"/>
      <c r="Z238" s="269"/>
      <c r="AA238" s="264"/>
      <c r="AB238" s="264"/>
      <c r="AC238" s="264"/>
      <c r="AD238" s="264"/>
      <c r="AE238" s="264"/>
      <c r="AF238" s="264"/>
      <c r="AG238" s="269"/>
      <c r="AH238" s="268"/>
      <c r="AI238" s="264"/>
      <c r="AJ238" s="264"/>
      <c r="AK238" s="264"/>
      <c r="AL238" s="264"/>
      <c r="AM238" s="264"/>
      <c r="AN238" s="264"/>
      <c r="AO238" s="264"/>
      <c r="AP238" s="264"/>
      <c r="AQ238" s="264"/>
      <c r="AR238" s="264"/>
      <c r="AS238" s="264"/>
      <c r="AT238" s="264"/>
      <c r="AU238" s="264"/>
      <c r="AV238" s="264"/>
      <c r="AW238" s="264"/>
      <c r="AX238" s="264"/>
      <c r="AY238" s="264"/>
      <c r="AZ238" s="264"/>
      <c r="BA238" s="264"/>
      <c r="BB238" s="270"/>
      <c r="BC238" s="270"/>
      <c r="BD238" s="270"/>
      <c r="BE238" s="270"/>
      <c r="BF238" s="264"/>
      <c r="BG238" s="264"/>
      <c r="BH238" s="265"/>
      <c r="BI238" s="265"/>
      <c r="BJ238" s="265"/>
      <c r="BK238" s="265"/>
      <c r="BL238" s="265"/>
      <c r="BM238" s="265"/>
      <c r="BN238" s="265"/>
      <c r="BO238" s="263"/>
      <c r="BP238" s="263"/>
      <c r="BQ238" s="263"/>
    </row>
    <row r="239" spans="6:69" x14ac:dyDescent="0.25">
      <c r="F239" s="9"/>
      <c r="G239" s="9"/>
      <c r="H239" s="265"/>
      <c r="I239" s="275"/>
      <c r="J239" s="265"/>
      <c r="K239" s="265"/>
      <c r="L239" s="265"/>
      <c r="M239" s="265"/>
      <c r="N239" s="265"/>
      <c r="O239" s="265"/>
      <c r="P239" s="265"/>
      <c r="Q239" s="264"/>
      <c r="R239" s="264"/>
      <c r="S239" s="264"/>
      <c r="T239" s="264"/>
      <c r="U239" s="268"/>
      <c r="V239" s="269"/>
      <c r="W239" s="268"/>
      <c r="X239" s="270"/>
      <c r="Y239" s="269"/>
      <c r="Z239" s="269"/>
      <c r="AA239" s="264"/>
      <c r="AB239" s="264"/>
      <c r="AC239" s="264"/>
      <c r="AD239" s="264"/>
      <c r="AE239" s="264"/>
      <c r="AF239" s="264"/>
      <c r="AG239" s="269"/>
      <c r="AH239" s="268"/>
      <c r="AI239" s="264"/>
      <c r="AJ239" s="264"/>
      <c r="AK239" s="264"/>
      <c r="AL239" s="264"/>
      <c r="AM239" s="264"/>
      <c r="AN239" s="264"/>
      <c r="AO239" s="264"/>
      <c r="AP239" s="264"/>
      <c r="AQ239" s="264"/>
      <c r="AR239" s="264"/>
      <c r="AS239" s="264"/>
      <c r="AT239" s="264"/>
      <c r="AU239" s="264"/>
      <c r="AV239" s="264"/>
      <c r="AW239" s="264"/>
      <c r="AX239" s="264"/>
      <c r="AY239" s="264"/>
      <c r="AZ239" s="264"/>
      <c r="BA239" s="264"/>
      <c r="BB239" s="270"/>
      <c r="BC239" s="270"/>
      <c r="BD239" s="270"/>
      <c r="BE239" s="270"/>
      <c r="BF239" s="264"/>
      <c r="BG239" s="264"/>
      <c r="BH239" s="265"/>
      <c r="BI239" s="265"/>
      <c r="BJ239" s="265"/>
      <c r="BK239" s="265"/>
      <c r="BL239" s="265"/>
      <c r="BM239" s="265"/>
      <c r="BN239" s="265"/>
      <c r="BO239" s="263"/>
      <c r="BP239" s="263"/>
      <c r="BQ239" s="263"/>
    </row>
    <row r="240" spans="6:69" x14ac:dyDescent="0.25">
      <c r="F240" s="9"/>
      <c r="G240" s="9"/>
      <c r="H240" s="265"/>
      <c r="I240" s="275"/>
      <c r="J240" s="265"/>
      <c r="K240" s="265"/>
      <c r="L240" s="265"/>
      <c r="M240" s="265"/>
      <c r="N240" s="265"/>
      <c r="O240" s="265"/>
      <c r="P240" s="265"/>
      <c r="Q240" s="264"/>
      <c r="R240" s="264"/>
      <c r="S240" s="264"/>
      <c r="T240" s="264"/>
      <c r="U240" s="268"/>
      <c r="V240" s="269"/>
      <c r="W240" s="268"/>
      <c r="X240" s="270"/>
      <c r="Y240" s="269"/>
      <c r="Z240" s="269"/>
      <c r="AA240" s="264"/>
      <c r="AB240" s="264"/>
      <c r="AC240" s="264"/>
      <c r="AD240" s="264"/>
      <c r="AE240" s="264"/>
      <c r="AF240" s="264"/>
      <c r="AG240" s="269"/>
      <c r="AH240" s="268"/>
      <c r="AI240" s="264"/>
      <c r="AJ240" s="264"/>
      <c r="AK240" s="264"/>
      <c r="AL240" s="264"/>
      <c r="AM240" s="264"/>
      <c r="AN240" s="264"/>
      <c r="AO240" s="264"/>
      <c r="AP240" s="264"/>
      <c r="AQ240" s="264"/>
      <c r="AR240" s="264"/>
      <c r="AS240" s="264"/>
      <c r="AT240" s="264"/>
      <c r="AU240" s="264"/>
      <c r="AV240" s="264"/>
      <c r="AW240" s="264"/>
      <c r="AX240" s="264"/>
      <c r="AY240" s="264"/>
      <c r="AZ240" s="264"/>
      <c r="BA240" s="264"/>
      <c r="BB240" s="270"/>
      <c r="BC240" s="270"/>
      <c r="BD240" s="270"/>
      <c r="BE240" s="270"/>
      <c r="BF240" s="264"/>
      <c r="BG240" s="264"/>
      <c r="BH240" s="265"/>
      <c r="BI240" s="265"/>
      <c r="BJ240" s="265"/>
      <c r="BK240" s="265"/>
      <c r="BL240" s="265"/>
      <c r="BM240" s="265"/>
      <c r="BN240" s="265"/>
      <c r="BO240" s="263"/>
      <c r="BP240" s="263"/>
      <c r="BQ240" s="263"/>
    </row>
    <row r="241" spans="6:69" x14ac:dyDescent="0.25">
      <c r="F241" s="9"/>
      <c r="G241" s="9"/>
      <c r="H241" s="265"/>
      <c r="I241" s="275"/>
      <c r="J241" s="265"/>
      <c r="K241" s="265"/>
      <c r="L241" s="265"/>
      <c r="M241" s="265"/>
      <c r="N241" s="265"/>
      <c r="O241" s="265"/>
      <c r="P241" s="265"/>
      <c r="Q241" s="264"/>
      <c r="R241" s="264"/>
      <c r="S241" s="264"/>
      <c r="T241" s="264"/>
      <c r="U241" s="268"/>
      <c r="V241" s="269"/>
      <c r="W241" s="268"/>
      <c r="X241" s="270"/>
      <c r="Y241" s="269"/>
      <c r="Z241" s="269"/>
      <c r="AA241" s="264"/>
      <c r="AB241" s="264"/>
      <c r="AC241" s="264"/>
      <c r="AD241" s="264"/>
      <c r="AE241" s="264"/>
      <c r="AF241" s="264"/>
      <c r="AG241" s="269"/>
      <c r="AH241" s="268"/>
      <c r="AI241" s="264"/>
      <c r="AJ241" s="264"/>
      <c r="AK241" s="264"/>
      <c r="AL241" s="264"/>
      <c r="AM241" s="264"/>
      <c r="AN241" s="264"/>
      <c r="AO241" s="264"/>
      <c r="AP241" s="264"/>
      <c r="AQ241" s="264"/>
      <c r="AR241" s="264"/>
      <c r="AS241" s="264"/>
      <c r="AT241" s="264"/>
      <c r="AU241" s="264"/>
      <c r="AV241" s="264"/>
      <c r="AW241" s="264"/>
      <c r="AX241" s="264"/>
      <c r="AY241" s="264"/>
      <c r="AZ241" s="264"/>
      <c r="BA241" s="264"/>
      <c r="BB241" s="270"/>
      <c r="BC241" s="270"/>
      <c r="BD241" s="270"/>
      <c r="BE241" s="270"/>
      <c r="BF241" s="264"/>
      <c r="BG241" s="264"/>
      <c r="BH241" s="265"/>
      <c r="BI241" s="265"/>
      <c r="BJ241" s="265"/>
      <c r="BK241" s="265"/>
      <c r="BL241" s="265"/>
      <c r="BM241" s="265"/>
      <c r="BN241" s="265"/>
      <c r="BO241" s="263"/>
      <c r="BP241" s="263"/>
      <c r="BQ241" s="263"/>
    </row>
    <row r="242" spans="6:69" x14ac:dyDescent="0.25">
      <c r="F242" s="9"/>
      <c r="G242" s="9"/>
      <c r="H242" s="265"/>
      <c r="I242" s="275"/>
      <c r="J242" s="265"/>
      <c r="K242" s="265"/>
      <c r="L242" s="265"/>
      <c r="M242" s="265"/>
      <c r="N242" s="265"/>
      <c r="O242" s="265"/>
      <c r="P242" s="265"/>
      <c r="Q242" s="264"/>
      <c r="R242" s="264"/>
      <c r="S242" s="264"/>
      <c r="T242" s="264"/>
      <c r="U242" s="268"/>
      <c r="V242" s="269"/>
      <c r="W242" s="268"/>
      <c r="X242" s="270"/>
      <c r="Y242" s="269"/>
      <c r="Z242" s="269"/>
      <c r="AA242" s="264"/>
      <c r="AB242" s="264"/>
      <c r="AC242" s="264"/>
      <c r="AD242" s="264"/>
      <c r="AE242" s="264"/>
      <c r="AF242" s="264"/>
      <c r="AG242" s="269"/>
      <c r="AH242" s="268"/>
      <c r="AI242" s="264"/>
      <c r="AJ242" s="264"/>
      <c r="AK242" s="264"/>
      <c r="AL242" s="264"/>
      <c r="AM242" s="264"/>
      <c r="AN242" s="264"/>
      <c r="AO242" s="264"/>
      <c r="AP242" s="264"/>
      <c r="AQ242" s="264"/>
      <c r="AR242" s="264"/>
      <c r="AS242" s="264"/>
      <c r="AT242" s="264"/>
      <c r="AU242" s="264"/>
      <c r="AV242" s="264"/>
      <c r="AW242" s="264"/>
      <c r="AX242" s="264"/>
      <c r="AY242" s="264"/>
      <c r="AZ242" s="264"/>
      <c r="BA242" s="264"/>
      <c r="BB242" s="270"/>
      <c r="BC242" s="270"/>
      <c r="BD242" s="270"/>
      <c r="BE242" s="270"/>
      <c r="BF242" s="264"/>
      <c r="BG242" s="264"/>
      <c r="BH242" s="265"/>
      <c r="BI242" s="265"/>
      <c r="BJ242" s="265"/>
      <c r="BK242" s="265"/>
      <c r="BL242" s="265"/>
      <c r="BM242" s="265"/>
      <c r="BN242" s="265"/>
      <c r="BO242" s="263"/>
      <c r="BP242" s="263"/>
      <c r="BQ242" s="263"/>
    </row>
    <row r="243" spans="6:69" x14ac:dyDescent="0.25">
      <c r="F243" s="9"/>
      <c r="G243" s="9"/>
      <c r="H243" s="265"/>
      <c r="I243" s="275"/>
      <c r="J243" s="265"/>
      <c r="K243" s="265"/>
      <c r="L243" s="265"/>
      <c r="M243" s="265"/>
      <c r="N243" s="265"/>
      <c r="O243" s="265"/>
      <c r="P243" s="265"/>
      <c r="Q243" s="264"/>
      <c r="R243" s="264"/>
      <c r="S243" s="264"/>
      <c r="T243" s="264"/>
      <c r="U243" s="268"/>
      <c r="V243" s="269"/>
      <c r="W243" s="268"/>
      <c r="X243" s="270"/>
      <c r="Y243" s="269"/>
      <c r="Z243" s="269"/>
      <c r="AA243" s="264"/>
      <c r="AB243" s="264"/>
      <c r="AC243" s="264"/>
      <c r="AD243" s="264"/>
      <c r="AE243" s="264"/>
      <c r="AF243" s="264"/>
      <c r="AG243" s="269"/>
      <c r="AH243" s="268"/>
      <c r="AI243" s="264"/>
      <c r="AJ243" s="264"/>
      <c r="AK243" s="264"/>
      <c r="AL243" s="264"/>
      <c r="AM243" s="264"/>
      <c r="AN243" s="264"/>
      <c r="AO243" s="264"/>
      <c r="AP243" s="264"/>
      <c r="AQ243" s="264"/>
      <c r="AR243" s="264"/>
      <c r="AS243" s="264"/>
      <c r="AT243" s="264"/>
      <c r="AU243" s="264"/>
      <c r="AV243" s="264"/>
      <c r="AW243" s="264"/>
      <c r="AX243" s="264"/>
      <c r="AY243" s="264"/>
      <c r="AZ243" s="264"/>
      <c r="BA243" s="264"/>
      <c r="BB243" s="270"/>
      <c r="BC243" s="270"/>
      <c r="BD243" s="270"/>
      <c r="BE243" s="270"/>
      <c r="BF243" s="264"/>
      <c r="BG243" s="264"/>
      <c r="BH243" s="265"/>
      <c r="BI243" s="265"/>
      <c r="BJ243" s="265"/>
      <c r="BK243" s="265"/>
      <c r="BL243" s="265"/>
      <c r="BM243" s="265"/>
      <c r="BN243" s="265"/>
      <c r="BO243" s="263"/>
      <c r="BP243" s="263"/>
      <c r="BQ243" s="263"/>
    </row>
    <row r="244" spans="6:69" x14ac:dyDescent="0.25">
      <c r="F244" s="9"/>
      <c r="G244" s="9"/>
      <c r="H244" s="265"/>
      <c r="I244" s="275"/>
      <c r="J244" s="265"/>
      <c r="K244" s="265"/>
      <c r="L244" s="265"/>
      <c r="M244" s="265"/>
      <c r="N244" s="265"/>
      <c r="O244" s="265"/>
      <c r="P244" s="265"/>
      <c r="Q244" s="264"/>
      <c r="R244" s="264"/>
      <c r="S244" s="264"/>
      <c r="T244" s="264"/>
      <c r="U244" s="268"/>
      <c r="V244" s="269"/>
      <c r="W244" s="268"/>
      <c r="X244" s="270"/>
      <c r="Y244" s="269"/>
      <c r="Z244" s="269"/>
      <c r="AA244" s="264"/>
      <c r="AB244" s="264"/>
      <c r="AC244" s="264"/>
      <c r="AD244" s="264"/>
      <c r="AE244" s="264"/>
      <c r="AF244" s="264"/>
      <c r="AG244" s="269"/>
      <c r="AH244" s="268"/>
      <c r="AI244" s="264"/>
      <c r="AJ244" s="264"/>
      <c r="AK244" s="264"/>
      <c r="AL244" s="264"/>
      <c r="AM244" s="264"/>
      <c r="AN244" s="264"/>
      <c r="AO244" s="264"/>
      <c r="AP244" s="264"/>
      <c r="AQ244" s="264"/>
      <c r="AR244" s="264"/>
      <c r="AS244" s="264"/>
      <c r="AT244" s="264"/>
      <c r="AU244" s="264"/>
      <c r="AV244" s="264"/>
      <c r="AW244" s="264"/>
      <c r="AX244" s="264"/>
      <c r="AY244" s="264"/>
      <c r="AZ244" s="264"/>
      <c r="BA244" s="264"/>
      <c r="BB244" s="270"/>
      <c r="BC244" s="270"/>
      <c r="BD244" s="270"/>
      <c r="BE244" s="270"/>
      <c r="BF244" s="264"/>
      <c r="BG244" s="264"/>
      <c r="BH244" s="265"/>
      <c r="BI244" s="265"/>
      <c r="BJ244" s="265"/>
      <c r="BK244" s="265"/>
      <c r="BL244" s="265"/>
      <c r="BM244" s="265"/>
      <c r="BN244" s="265"/>
      <c r="BO244" s="263"/>
      <c r="BP244" s="263"/>
      <c r="BQ244" s="263"/>
    </row>
    <row r="245" spans="6:69" x14ac:dyDescent="0.25">
      <c r="F245" s="9"/>
      <c r="G245" s="9"/>
      <c r="H245" s="265"/>
      <c r="I245" s="275"/>
      <c r="J245" s="265"/>
      <c r="K245" s="265"/>
      <c r="L245" s="265"/>
      <c r="M245" s="265"/>
      <c r="N245" s="265"/>
      <c r="O245" s="265"/>
      <c r="P245" s="265"/>
      <c r="Q245" s="264"/>
      <c r="R245" s="264"/>
      <c r="S245" s="264"/>
      <c r="T245" s="264"/>
      <c r="U245" s="268"/>
      <c r="V245" s="269"/>
      <c r="W245" s="268"/>
      <c r="X245" s="270"/>
      <c r="Y245" s="269"/>
      <c r="Z245" s="269"/>
      <c r="AA245" s="264"/>
      <c r="AB245" s="264"/>
      <c r="AC245" s="264"/>
      <c r="AD245" s="264"/>
      <c r="AE245" s="264"/>
      <c r="AF245" s="264"/>
      <c r="AG245" s="269"/>
      <c r="AH245" s="268"/>
      <c r="AI245" s="264"/>
      <c r="AJ245" s="264"/>
      <c r="AK245" s="264"/>
      <c r="AL245" s="264"/>
      <c r="AM245" s="264"/>
      <c r="AN245" s="264"/>
      <c r="AO245" s="264"/>
      <c r="AP245" s="264"/>
      <c r="AQ245" s="264"/>
      <c r="AR245" s="264"/>
      <c r="AS245" s="264"/>
      <c r="AT245" s="264"/>
      <c r="AU245" s="264"/>
      <c r="AV245" s="264"/>
      <c r="AW245" s="264"/>
      <c r="AX245" s="264"/>
      <c r="AY245" s="264"/>
      <c r="AZ245" s="264"/>
      <c r="BA245" s="264"/>
      <c r="BB245" s="270"/>
      <c r="BC245" s="270"/>
      <c r="BD245" s="270"/>
      <c r="BE245" s="270"/>
      <c r="BF245" s="264"/>
      <c r="BG245" s="264"/>
      <c r="BH245" s="265"/>
      <c r="BI245" s="265"/>
      <c r="BJ245" s="265"/>
      <c r="BK245" s="265"/>
      <c r="BL245" s="265"/>
      <c r="BM245" s="265"/>
      <c r="BN245" s="265"/>
      <c r="BO245" s="263"/>
      <c r="BP245" s="263"/>
      <c r="BQ245" s="263"/>
    </row>
    <row r="246" spans="6:69" x14ac:dyDescent="0.25">
      <c r="F246" s="9"/>
      <c r="G246" s="9"/>
      <c r="H246" s="265"/>
      <c r="I246" s="275"/>
      <c r="J246" s="265"/>
      <c r="K246" s="265"/>
      <c r="L246" s="265"/>
      <c r="M246" s="265"/>
      <c r="N246" s="265"/>
      <c r="O246" s="265"/>
      <c r="P246" s="265"/>
      <c r="Q246" s="264"/>
      <c r="R246" s="264"/>
      <c r="S246" s="264"/>
      <c r="T246" s="264"/>
      <c r="U246" s="268"/>
      <c r="V246" s="269"/>
      <c r="W246" s="268"/>
      <c r="X246" s="270"/>
      <c r="Y246" s="269"/>
      <c r="Z246" s="269"/>
      <c r="AA246" s="264"/>
      <c r="AB246" s="264"/>
      <c r="AC246" s="264"/>
      <c r="AD246" s="264"/>
      <c r="AE246" s="264"/>
      <c r="AF246" s="264"/>
      <c r="AG246" s="269"/>
      <c r="AH246" s="268"/>
      <c r="AI246" s="264"/>
      <c r="AJ246" s="264"/>
      <c r="AK246" s="264"/>
      <c r="AL246" s="264"/>
      <c r="AM246" s="264"/>
      <c r="AN246" s="264"/>
      <c r="AO246" s="264"/>
      <c r="AP246" s="264"/>
      <c r="AQ246" s="264"/>
      <c r="AR246" s="264"/>
      <c r="AS246" s="264"/>
      <c r="AT246" s="264"/>
      <c r="AU246" s="264"/>
      <c r="AV246" s="264"/>
      <c r="AW246" s="264"/>
      <c r="AX246" s="264"/>
      <c r="AY246" s="264"/>
      <c r="AZ246" s="264"/>
      <c r="BA246" s="264"/>
      <c r="BB246" s="270"/>
      <c r="BC246" s="270"/>
      <c r="BD246" s="270"/>
      <c r="BE246" s="270"/>
      <c r="BF246" s="264"/>
      <c r="BG246" s="264"/>
      <c r="BH246" s="265"/>
      <c r="BI246" s="265"/>
      <c r="BJ246" s="265"/>
      <c r="BK246" s="265"/>
      <c r="BL246" s="265"/>
      <c r="BM246" s="265"/>
      <c r="BN246" s="265"/>
      <c r="BO246" s="263"/>
      <c r="BP246" s="263"/>
      <c r="BQ246" s="263"/>
    </row>
    <row r="247" spans="6:69" x14ac:dyDescent="0.25">
      <c r="F247" s="9"/>
      <c r="G247" s="9"/>
      <c r="H247" s="265"/>
      <c r="I247" s="275"/>
      <c r="J247" s="265"/>
      <c r="K247" s="265"/>
      <c r="L247" s="265"/>
      <c r="M247" s="265"/>
      <c r="N247" s="265"/>
      <c r="O247" s="265"/>
      <c r="P247" s="265"/>
      <c r="Q247" s="264"/>
      <c r="R247" s="264"/>
      <c r="S247" s="264"/>
      <c r="T247" s="264"/>
      <c r="U247" s="268"/>
      <c r="V247" s="269"/>
      <c r="W247" s="268"/>
      <c r="X247" s="270"/>
      <c r="Y247" s="269"/>
      <c r="Z247" s="269"/>
      <c r="AA247" s="264"/>
      <c r="AB247" s="264"/>
      <c r="AC247" s="264"/>
      <c r="AD247" s="264"/>
      <c r="AE247" s="264"/>
      <c r="AF247" s="264"/>
      <c r="AG247" s="269"/>
      <c r="AH247" s="268"/>
      <c r="AI247" s="264"/>
      <c r="AJ247" s="264"/>
      <c r="AK247" s="264"/>
      <c r="AL247" s="264"/>
      <c r="AM247" s="264"/>
      <c r="AN247" s="264"/>
      <c r="AO247" s="264"/>
      <c r="AP247" s="264"/>
      <c r="AQ247" s="264"/>
      <c r="AR247" s="264"/>
      <c r="AS247" s="264"/>
      <c r="AT247" s="264"/>
      <c r="AU247" s="264"/>
      <c r="AV247" s="264"/>
      <c r="AW247" s="264"/>
      <c r="AX247" s="264"/>
      <c r="AY247" s="264"/>
      <c r="AZ247" s="264"/>
      <c r="BA247" s="264"/>
      <c r="BB247" s="270"/>
      <c r="BC247" s="270"/>
      <c r="BD247" s="270"/>
      <c r="BE247" s="270"/>
      <c r="BF247" s="264"/>
      <c r="BG247" s="264"/>
      <c r="BH247" s="265"/>
      <c r="BI247" s="265"/>
      <c r="BJ247" s="265"/>
      <c r="BK247" s="265"/>
      <c r="BL247" s="265"/>
      <c r="BM247" s="265"/>
      <c r="BN247" s="265"/>
      <c r="BO247" s="263"/>
      <c r="BP247" s="263"/>
      <c r="BQ247" s="263"/>
    </row>
    <row r="248" spans="6:69" x14ac:dyDescent="0.25">
      <c r="F248" s="9"/>
      <c r="G248" s="9"/>
      <c r="H248" s="265"/>
      <c r="I248" s="275"/>
      <c r="J248" s="265"/>
      <c r="K248" s="265"/>
      <c r="L248" s="265"/>
      <c r="M248" s="265"/>
      <c r="N248" s="265"/>
      <c r="O248" s="265"/>
      <c r="P248" s="265"/>
      <c r="Q248" s="264"/>
      <c r="R248" s="264"/>
      <c r="S248" s="264"/>
      <c r="T248" s="264"/>
      <c r="U248" s="268"/>
      <c r="V248" s="269"/>
      <c r="W248" s="268"/>
      <c r="X248" s="270"/>
      <c r="Y248" s="269"/>
      <c r="Z248" s="269"/>
      <c r="AA248" s="264"/>
      <c r="AB248" s="264"/>
      <c r="AC248" s="264"/>
      <c r="AD248" s="264"/>
      <c r="AE248" s="264"/>
      <c r="AF248" s="264"/>
      <c r="AG248" s="269"/>
      <c r="AH248" s="268"/>
      <c r="AI248" s="264"/>
      <c r="AJ248" s="264"/>
      <c r="AK248" s="264"/>
      <c r="AL248" s="264"/>
      <c r="AM248" s="264"/>
      <c r="AN248" s="264"/>
      <c r="AO248" s="264"/>
      <c r="AP248" s="264"/>
      <c r="AQ248" s="264"/>
      <c r="AR248" s="264"/>
      <c r="AS248" s="264"/>
      <c r="AT248" s="264"/>
      <c r="AU248" s="264"/>
      <c r="AV248" s="264"/>
      <c r="AW248" s="264"/>
      <c r="AX248" s="264"/>
      <c r="AY248" s="264"/>
      <c r="AZ248" s="264"/>
      <c r="BA248" s="264"/>
      <c r="BB248" s="270"/>
      <c r="BC248" s="270"/>
      <c r="BD248" s="270"/>
      <c r="BE248" s="270"/>
      <c r="BF248" s="264"/>
      <c r="BG248" s="264"/>
      <c r="BH248" s="265"/>
      <c r="BI248" s="265"/>
      <c r="BJ248" s="265"/>
      <c r="BK248" s="265"/>
      <c r="BL248" s="265"/>
      <c r="BM248" s="265"/>
      <c r="BN248" s="265"/>
      <c r="BO248" s="263"/>
      <c r="BP248" s="263"/>
      <c r="BQ248" s="263"/>
    </row>
    <row r="249" spans="6:69" x14ac:dyDescent="0.25">
      <c r="F249" s="9"/>
      <c r="G249" s="9"/>
      <c r="H249" s="265"/>
      <c r="I249" s="275"/>
      <c r="J249" s="265"/>
      <c r="K249" s="265"/>
      <c r="L249" s="265"/>
      <c r="M249" s="265"/>
      <c r="N249" s="265"/>
      <c r="O249" s="265"/>
      <c r="P249" s="265"/>
      <c r="Q249" s="264"/>
      <c r="R249" s="264"/>
      <c r="S249" s="264"/>
      <c r="T249" s="264"/>
      <c r="U249" s="268"/>
      <c r="V249" s="269"/>
      <c r="W249" s="268"/>
      <c r="X249" s="270"/>
      <c r="Y249" s="269"/>
      <c r="Z249" s="269"/>
      <c r="AA249" s="264"/>
      <c r="AB249" s="264"/>
      <c r="AC249" s="264"/>
      <c r="AD249" s="264"/>
      <c r="AE249" s="264"/>
      <c r="AF249" s="264"/>
      <c r="AG249" s="269"/>
      <c r="AH249" s="268"/>
      <c r="AI249" s="264"/>
      <c r="AJ249" s="264"/>
      <c r="AK249" s="264"/>
      <c r="AL249" s="264"/>
      <c r="AM249" s="264"/>
      <c r="AN249" s="264"/>
      <c r="AO249" s="264"/>
      <c r="AP249" s="264"/>
      <c r="AQ249" s="264"/>
      <c r="AR249" s="264"/>
      <c r="AS249" s="264"/>
      <c r="AT249" s="264"/>
      <c r="AU249" s="264"/>
      <c r="AV249" s="264"/>
      <c r="AW249" s="264"/>
      <c r="AX249" s="264"/>
      <c r="AY249" s="264"/>
      <c r="AZ249" s="264"/>
      <c r="BA249" s="264"/>
      <c r="BB249" s="270"/>
      <c r="BC249" s="270"/>
      <c r="BD249" s="270"/>
      <c r="BE249" s="270"/>
      <c r="BF249" s="264"/>
      <c r="BG249" s="264"/>
      <c r="BH249" s="265"/>
      <c r="BI249" s="265"/>
      <c r="BJ249" s="265"/>
      <c r="BK249" s="265"/>
      <c r="BL249" s="265"/>
      <c r="BM249" s="265"/>
      <c r="BN249" s="265"/>
      <c r="BO249" s="263"/>
      <c r="BP249" s="263"/>
      <c r="BQ249" s="263"/>
    </row>
    <row r="250" spans="6:69" x14ac:dyDescent="0.25">
      <c r="F250" s="9"/>
      <c r="G250" s="9"/>
      <c r="H250" s="265"/>
      <c r="I250" s="275"/>
      <c r="J250" s="265"/>
      <c r="K250" s="265"/>
      <c r="L250" s="265"/>
      <c r="M250" s="265"/>
      <c r="N250" s="265"/>
      <c r="O250" s="265"/>
      <c r="P250" s="265"/>
      <c r="Q250" s="264"/>
      <c r="R250" s="264"/>
      <c r="S250" s="264"/>
      <c r="T250" s="264"/>
      <c r="U250" s="268"/>
      <c r="V250" s="269"/>
      <c r="W250" s="268"/>
      <c r="X250" s="270"/>
      <c r="Y250" s="269"/>
      <c r="Z250" s="269"/>
      <c r="AA250" s="264"/>
      <c r="AB250" s="264"/>
      <c r="AC250" s="264"/>
      <c r="AD250" s="264"/>
      <c r="AE250" s="264"/>
      <c r="AF250" s="264"/>
      <c r="AG250" s="269"/>
      <c r="AH250" s="268"/>
      <c r="AI250" s="264"/>
      <c r="AJ250" s="264"/>
      <c r="AK250" s="264"/>
      <c r="AL250" s="264"/>
      <c r="AM250" s="264"/>
      <c r="AN250" s="264"/>
      <c r="AO250" s="264"/>
      <c r="AP250" s="264"/>
      <c r="AQ250" s="264"/>
      <c r="AR250" s="264"/>
      <c r="AS250" s="264"/>
      <c r="AT250" s="264"/>
      <c r="AU250" s="264"/>
      <c r="AV250" s="264"/>
      <c r="AW250" s="264"/>
      <c r="AX250" s="264"/>
      <c r="AY250" s="264"/>
      <c r="AZ250" s="264"/>
      <c r="BA250" s="264"/>
      <c r="BB250" s="270"/>
      <c r="BC250" s="270"/>
      <c r="BD250" s="270"/>
      <c r="BE250" s="270"/>
      <c r="BF250" s="264"/>
      <c r="BG250" s="264"/>
      <c r="BH250" s="265"/>
      <c r="BI250" s="265"/>
      <c r="BJ250" s="265"/>
      <c r="BK250" s="265"/>
      <c r="BL250" s="265"/>
      <c r="BM250" s="265"/>
      <c r="BN250" s="265"/>
      <c r="BO250" s="263"/>
      <c r="BP250" s="263"/>
      <c r="BQ250" s="263"/>
    </row>
    <row r="251" spans="6:69" x14ac:dyDescent="0.25">
      <c r="F251" s="9"/>
      <c r="G251" s="9"/>
      <c r="H251" s="265"/>
      <c r="I251" s="275"/>
      <c r="J251" s="265"/>
      <c r="K251" s="265"/>
      <c r="L251" s="265"/>
      <c r="M251" s="265"/>
      <c r="N251" s="265"/>
      <c r="O251" s="265"/>
      <c r="P251" s="265"/>
      <c r="Q251" s="264"/>
      <c r="R251" s="264"/>
      <c r="S251" s="264"/>
      <c r="T251" s="264"/>
      <c r="U251" s="268"/>
      <c r="V251" s="269"/>
      <c r="W251" s="268"/>
      <c r="X251" s="270"/>
      <c r="Y251" s="269"/>
      <c r="Z251" s="269"/>
      <c r="AA251" s="264"/>
      <c r="AB251" s="264"/>
      <c r="AC251" s="264"/>
      <c r="AD251" s="264"/>
      <c r="AE251" s="264"/>
      <c r="AF251" s="264"/>
      <c r="AG251" s="269"/>
      <c r="AH251" s="268"/>
      <c r="AI251" s="264"/>
      <c r="AJ251" s="264"/>
      <c r="AK251" s="264"/>
      <c r="AL251" s="264"/>
      <c r="AM251" s="264"/>
      <c r="AN251" s="264"/>
      <c r="AO251" s="264"/>
      <c r="AP251" s="264"/>
      <c r="AQ251" s="264"/>
      <c r="AR251" s="264"/>
      <c r="AS251" s="264"/>
      <c r="AT251" s="264"/>
      <c r="AU251" s="264"/>
      <c r="AV251" s="264"/>
      <c r="AW251" s="264"/>
      <c r="AX251" s="264"/>
      <c r="AY251" s="264"/>
      <c r="AZ251" s="264"/>
      <c r="BA251" s="264"/>
      <c r="BB251" s="270"/>
      <c r="BC251" s="270"/>
      <c r="BD251" s="270"/>
      <c r="BE251" s="270"/>
      <c r="BF251" s="264"/>
      <c r="BG251" s="264"/>
      <c r="BH251" s="265"/>
      <c r="BI251" s="265"/>
      <c r="BJ251" s="265"/>
      <c r="BK251" s="265"/>
      <c r="BL251" s="265"/>
      <c r="BM251" s="265"/>
      <c r="BN251" s="265"/>
      <c r="BO251" s="263"/>
      <c r="BP251" s="263"/>
      <c r="BQ251" s="263"/>
    </row>
    <row r="252" spans="6:69" x14ac:dyDescent="0.25">
      <c r="F252" s="9"/>
      <c r="G252" s="9"/>
      <c r="H252" s="265"/>
      <c r="I252" s="275"/>
      <c r="J252" s="265"/>
      <c r="K252" s="265"/>
      <c r="L252" s="265"/>
      <c r="M252" s="265"/>
      <c r="N252" s="265"/>
      <c r="O252" s="265"/>
      <c r="P252" s="265"/>
      <c r="Q252" s="264"/>
      <c r="R252" s="264"/>
      <c r="S252" s="264"/>
      <c r="T252" s="264"/>
      <c r="U252" s="268"/>
      <c r="V252" s="269"/>
      <c r="W252" s="268"/>
      <c r="X252" s="270"/>
      <c r="Y252" s="269"/>
      <c r="Z252" s="269"/>
      <c r="AA252" s="264"/>
      <c r="AB252" s="264"/>
      <c r="AC252" s="264"/>
      <c r="AD252" s="264"/>
      <c r="AE252" s="264"/>
      <c r="AF252" s="264"/>
      <c r="AG252" s="269"/>
      <c r="AH252" s="268"/>
      <c r="AI252" s="264"/>
      <c r="AJ252" s="264"/>
      <c r="AK252" s="264"/>
      <c r="AL252" s="264"/>
      <c r="AM252" s="264"/>
      <c r="AN252" s="264"/>
      <c r="AO252" s="264"/>
      <c r="AP252" s="264"/>
      <c r="AQ252" s="264"/>
      <c r="AR252" s="264"/>
      <c r="AS252" s="264"/>
      <c r="AT252" s="264"/>
      <c r="AU252" s="264"/>
      <c r="AV252" s="264"/>
      <c r="AW252" s="264"/>
      <c r="AX252" s="264"/>
      <c r="AY252" s="264"/>
      <c r="AZ252" s="264"/>
      <c r="BA252" s="264"/>
      <c r="BB252" s="270"/>
      <c r="BC252" s="270"/>
      <c r="BD252" s="270"/>
      <c r="BE252" s="270"/>
      <c r="BF252" s="264"/>
      <c r="BG252" s="264"/>
      <c r="BH252" s="265"/>
      <c r="BI252" s="265"/>
      <c r="BJ252" s="265"/>
      <c r="BK252" s="265"/>
      <c r="BL252" s="265"/>
      <c r="BM252" s="265"/>
      <c r="BN252" s="265"/>
      <c r="BO252" s="263"/>
      <c r="BP252" s="263"/>
      <c r="BQ252" s="263"/>
    </row>
    <row r="253" spans="6:69" x14ac:dyDescent="0.25">
      <c r="F253" s="9"/>
      <c r="G253" s="9"/>
      <c r="H253" s="265"/>
      <c r="I253" s="275"/>
      <c r="J253" s="265"/>
      <c r="K253" s="265"/>
      <c r="L253" s="265"/>
      <c r="M253" s="265"/>
      <c r="N253" s="265"/>
      <c r="O253" s="265"/>
      <c r="P253" s="265"/>
      <c r="Q253" s="264"/>
      <c r="R253" s="264"/>
      <c r="S253" s="264"/>
      <c r="T253" s="264"/>
      <c r="U253" s="268"/>
      <c r="V253" s="269"/>
      <c r="W253" s="268"/>
      <c r="X253" s="270"/>
      <c r="Y253" s="269"/>
      <c r="Z253" s="269"/>
      <c r="AA253" s="264"/>
      <c r="AB253" s="264"/>
      <c r="AC253" s="264"/>
      <c r="AD253" s="264"/>
      <c r="AE253" s="264"/>
      <c r="AF253" s="264"/>
      <c r="AG253" s="269"/>
      <c r="AH253" s="268"/>
      <c r="AI253" s="264"/>
      <c r="AJ253" s="264"/>
      <c r="AK253" s="264"/>
      <c r="AL253" s="264"/>
      <c r="AM253" s="264"/>
      <c r="AN253" s="264"/>
      <c r="AO253" s="264"/>
      <c r="AP253" s="264"/>
      <c r="AQ253" s="264"/>
      <c r="AR253" s="264"/>
      <c r="AS253" s="264"/>
      <c r="AT253" s="264"/>
      <c r="AU253" s="264"/>
      <c r="AV253" s="264"/>
      <c r="AW253" s="264"/>
      <c r="AX253" s="264"/>
      <c r="AY253" s="264"/>
      <c r="AZ253" s="264"/>
      <c r="BA253" s="264"/>
      <c r="BB253" s="270"/>
      <c r="BC253" s="270"/>
      <c r="BD253" s="270"/>
      <c r="BE253" s="270"/>
      <c r="BF253" s="264"/>
      <c r="BG253" s="264"/>
      <c r="BH253" s="265"/>
      <c r="BI253" s="265"/>
      <c r="BJ253" s="265"/>
      <c r="BK253" s="265"/>
      <c r="BL253" s="265"/>
      <c r="BM253" s="265"/>
      <c r="BN253" s="265"/>
      <c r="BO253" s="263"/>
      <c r="BP253" s="263"/>
      <c r="BQ253" s="263"/>
    </row>
    <row r="254" spans="6:69" x14ac:dyDescent="0.25">
      <c r="F254" s="9"/>
      <c r="G254" s="9"/>
      <c r="H254" s="265"/>
      <c r="I254" s="275"/>
      <c r="J254" s="265"/>
      <c r="K254" s="265"/>
      <c r="L254" s="265"/>
      <c r="M254" s="265"/>
      <c r="N254" s="265"/>
      <c r="O254" s="265"/>
      <c r="P254" s="265"/>
      <c r="Q254" s="264"/>
      <c r="R254" s="264"/>
      <c r="S254" s="264"/>
      <c r="T254" s="264"/>
      <c r="U254" s="268"/>
      <c r="V254" s="269"/>
      <c r="W254" s="268"/>
      <c r="X254" s="270"/>
      <c r="Y254" s="269"/>
      <c r="Z254" s="269"/>
      <c r="AA254" s="264"/>
      <c r="AB254" s="264"/>
      <c r="AC254" s="264"/>
      <c r="AD254" s="264"/>
      <c r="AE254" s="264"/>
      <c r="AF254" s="264"/>
      <c r="AG254" s="269"/>
      <c r="AH254" s="268"/>
      <c r="AI254" s="264"/>
      <c r="AJ254" s="264"/>
      <c r="AK254" s="264"/>
      <c r="AL254" s="264"/>
      <c r="AM254" s="264"/>
      <c r="AN254" s="264"/>
      <c r="AO254" s="264"/>
      <c r="AP254" s="264"/>
      <c r="AQ254" s="264"/>
      <c r="AR254" s="264"/>
      <c r="AS254" s="264"/>
      <c r="AT254" s="264"/>
      <c r="AU254" s="264"/>
      <c r="AV254" s="264"/>
      <c r="AW254" s="264"/>
      <c r="AX254" s="264"/>
      <c r="AY254" s="264"/>
      <c r="AZ254" s="264"/>
      <c r="BA254" s="264"/>
      <c r="BB254" s="270"/>
      <c r="BC254" s="270"/>
      <c r="BD254" s="270"/>
      <c r="BE254" s="270"/>
      <c r="BF254" s="264"/>
      <c r="BG254" s="264"/>
      <c r="BH254" s="265"/>
      <c r="BI254" s="265"/>
      <c r="BJ254" s="265"/>
      <c r="BK254" s="265"/>
      <c r="BL254" s="265"/>
      <c r="BM254" s="265"/>
      <c r="BN254" s="265"/>
      <c r="BO254" s="263"/>
      <c r="BP254" s="263"/>
      <c r="BQ254" s="263"/>
    </row>
    <row r="255" spans="6:69" x14ac:dyDescent="0.25">
      <c r="F255" s="9"/>
      <c r="G255" s="9"/>
      <c r="H255" s="265"/>
      <c r="I255" s="275"/>
      <c r="J255" s="265"/>
      <c r="K255" s="265"/>
      <c r="L255" s="265"/>
      <c r="M255" s="265"/>
      <c r="N255" s="265"/>
      <c r="O255" s="265"/>
      <c r="P255" s="265"/>
      <c r="Q255" s="264"/>
      <c r="R255" s="264"/>
      <c r="S255" s="264"/>
      <c r="T255" s="264"/>
      <c r="U255" s="268"/>
      <c r="V255" s="269"/>
      <c r="W255" s="268"/>
      <c r="X255" s="270"/>
      <c r="Y255" s="269"/>
      <c r="Z255" s="269"/>
      <c r="AA255" s="264"/>
      <c r="AB255" s="264"/>
      <c r="AC255" s="264"/>
      <c r="AD255" s="264"/>
      <c r="AE255" s="264"/>
      <c r="AF255" s="264"/>
      <c r="AG255" s="269"/>
      <c r="AH255" s="268"/>
      <c r="AI255" s="264"/>
      <c r="AJ255" s="264"/>
      <c r="AK255" s="264"/>
      <c r="AL255" s="264"/>
      <c r="AM255" s="264"/>
      <c r="AN255" s="264"/>
      <c r="AO255" s="264"/>
      <c r="AP255" s="264"/>
      <c r="AQ255" s="264"/>
      <c r="AR255" s="264"/>
      <c r="AS255" s="264"/>
      <c r="AT255" s="264"/>
      <c r="AU255" s="264"/>
      <c r="AV255" s="264"/>
      <c r="AW255" s="264"/>
      <c r="AX255" s="264"/>
      <c r="AY255" s="264"/>
      <c r="AZ255" s="264"/>
      <c r="BA255" s="264"/>
      <c r="BB255" s="270"/>
      <c r="BC255" s="270"/>
      <c r="BD255" s="270"/>
      <c r="BE255" s="270"/>
      <c r="BF255" s="264"/>
      <c r="BG255" s="264"/>
      <c r="BH255" s="265"/>
      <c r="BI255" s="265"/>
      <c r="BJ255" s="265"/>
      <c r="BK255" s="265"/>
      <c r="BL255" s="265"/>
      <c r="BM255" s="265"/>
      <c r="BN255" s="265"/>
      <c r="BO255" s="263"/>
      <c r="BP255" s="263"/>
      <c r="BQ255" s="263"/>
    </row>
    <row r="256" spans="6:69" x14ac:dyDescent="0.25">
      <c r="F256" s="9"/>
      <c r="G256" s="9"/>
      <c r="H256" s="265"/>
      <c r="I256" s="275"/>
      <c r="J256" s="265"/>
      <c r="K256" s="265"/>
      <c r="L256" s="265"/>
      <c r="M256" s="265"/>
      <c r="N256" s="265"/>
      <c r="O256" s="265"/>
      <c r="P256" s="265"/>
      <c r="Q256" s="264"/>
      <c r="R256" s="264"/>
      <c r="S256" s="264"/>
      <c r="T256" s="264"/>
      <c r="U256" s="268"/>
      <c r="V256" s="269"/>
      <c r="W256" s="268"/>
      <c r="X256" s="270"/>
      <c r="Y256" s="269"/>
      <c r="Z256" s="269"/>
      <c r="AA256" s="264"/>
      <c r="AB256" s="264"/>
      <c r="AC256" s="264"/>
      <c r="AD256" s="264"/>
      <c r="AE256" s="264"/>
      <c r="AF256" s="264"/>
      <c r="AG256" s="269"/>
      <c r="AH256" s="268"/>
      <c r="AI256" s="264"/>
      <c r="AJ256" s="264"/>
      <c r="AK256" s="264"/>
      <c r="AL256" s="264"/>
      <c r="AM256" s="264"/>
      <c r="AN256" s="264"/>
      <c r="AO256" s="264"/>
      <c r="AP256" s="264"/>
      <c r="AQ256" s="264"/>
      <c r="AR256" s="264"/>
      <c r="AS256" s="264"/>
      <c r="AT256" s="264"/>
      <c r="AU256" s="264"/>
      <c r="AV256" s="264"/>
      <c r="AW256" s="264"/>
      <c r="AX256" s="264"/>
      <c r="AY256" s="264"/>
      <c r="AZ256" s="264"/>
      <c r="BA256" s="264"/>
      <c r="BB256" s="270"/>
      <c r="BC256" s="270"/>
      <c r="BD256" s="270"/>
      <c r="BE256" s="270"/>
      <c r="BF256" s="264"/>
      <c r="BG256" s="264"/>
      <c r="BH256" s="265"/>
      <c r="BI256" s="265"/>
      <c r="BJ256" s="265"/>
      <c r="BK256" s="265"/>
      <c r="BL256" s="265"/>
      <c r="BM256" s="265"/>
      <c r="BN256" s="265"/>
      <c r="BO256" s="263"/>
      <c r="BP256" s="263"/>
      <c r="BQ256" s="263"/>
    </row>
    <row r="257" spans="4:69" x14ac:dyDescent="0.25">
      <c r="F257" s="9"/>
      <c r="G257" s="9"/>
      <c r="H257" s="265"/>
      <c r="I257" s="275"/>
      <c r="J257" s="265"/>
      <c r="K257" s="265"/>
      <c r="L257" s="265"/>
      <c r="M257" s="265"/>
      <c r="N257" s="265"/>
      <c r="O257" s="265"/>
      <c r="P257" s="265"/>
      <c r="Q257" s="264"/>
      <c r="R257" s="264"/>
      <c r="S257" s="264"/>
      <c r="T257" s="264"/>
      <c r="U257" s="268"/>
      <c r="V257" s="269"/>
      <c r="W257" s="268"/>
      <c r="X257" s="270"/>
      <c r="Y257" s="269"/>
      <c r="Z257" s="269"/>
      <c r="AA257" s="264"/>
      <c r="AB257" s="264"/>
      <c r="AC257" s="264"/>
      <c r="AD257" s="264"/>
      <c r="AE257" s="264"/>
      <c r="AF257" s="264"/>
      <c r="AG257" s="269"/>
      <c r="AH257" s="268"/>
      <c r="AI257" s="264"/>
      <c r="AJ257" s="264"/>
      <c r="AK257" s="264"/>
      <c r="AL257" s="264"/>
      <c r="AM257" s="264"/>
      <c r="AN257" s="264"/>
      <c r="AO257" s="264"/>
      <c r="AP257" s="264"/>
      <c r="AQ257" s="264"/>
      <c r="AR257" s="264"/>
      <c r="AS257" s="264"/>
      <c r="AT257" s="264"/>
      <c r="AU257" s="264"/>
      <c r="AV257" s="264"/>
      <c r="AW257" s="264"/>
      <c r="AX257" s="264"/>
      <c r="AY257" s="264"/>
      <c r="AZ257" s="264"/>
      <c r="BA257" s="264"/>
      <c r="BB257" s="270"/>
      <c r="BC257" s="270"/>
      <c r="BD257" s="270"/>
      <c r="BE257" s="270"/>
      <c r="BF257" s="264"/>
      <c r="BG257" s="264"/>
      <c r="BH257" s="265"/>
      <c r="BI257" s="265"/>
      <c r="BJ257" s="265"/>
      <c r="BK257" s="265"/>
      <c r="BL257" s="265"/>
      <c r="BM257" s="265"/>
      <c r="BN257" s="265"/>
      <c r="BO257" s="263"/>
      <c r="BP257" s="263"/>
      <c r="BQ257" s="263"/>
    </row>
    <row r="258" spans="4:69" x14ac:dyDescent="0.25">
      <c r="F258" s="9"/>
      <c r="G258" s="9"/>
      <c r="H258" s="265"/>
      <c r="I258" s="275"/>
      <c r="J258" s="265"/>
      <c r="K258" s="265"/>
      <c r="L258" s="265"/>
      <c r="M258" s="265"/>
      <c r="N258" s="265"/>
      <c r="O258" s="265"/>
      <c r="P258" s="265"/>
      <c r="Q258" s="264"/>
      <c r="R258" s="264"/>
      <c r="S258" s="264"/>
      <c r="T258" s="264"/>
      <c r="U258" s="268"/>
      <c r="V258" s="269"/>
      <c r="W258" s="268"/>
      <c r="X258" s="270"/>
      <c r="Y258" s="269"/>
      <c r="Z258" s="269"/>
      <c r="AA258" s="264"/>
      <c r="AB258" s="264"/>
      <c r="AC258" s="264"/>
      <c r="AD258" s="264"/>
      <c r="AE258" s="264"/>
      <c r="AF258" s="264"/>
      <c r="AG258" s="269"/>
      <c r="AH258" s="268"/>
      <c r="AI258" s="264"/>
      <c r="AJ258" s="264"/>
      <c r="AK258" s="264"/>
      <c r="AL258" s="264"/>
      <c r="AM258" s="264"/>
      <c r="AN258" s="264"/>
      <c r="AO258" s="264"/>
      <c r="AP258" s="264"/>
      <c r="AQ258" s="264"/>
      <c r="AR258" s="264"/>
      <c r="AS258" s="264"/>
      <c r="AT258" s="264"/>
      <c r="AU258" s="264"/>
      <c r="AV258" s="264"/>
      <c r="AW258" s="264"/>
      <c r="AX258" s="264"/>
      <c r="AY258" s="264"/>
      <c r="AZ258" s="264"/>
      <c r="BA258" s="264"/>
      <c r="BB258" s="270"/>
      <c r="BC258" s="270"/>
      <c r="BD258" s="270"/>
      <c r="BE258" s="270"/>
      <c r="BF258" s="264"/>
      <c r="BG258" s="264"/>
      <c r="BH258" s="265"/>
      <c r="BI258" s="265"/>
      <c r="BJ258" s="265"/>
      <c r="BK258" s="265"/>
      <c r="BL258" s="265"/>
      <c r="BM258" s="265"/>
      <c r="BN258" s="265"/>
      <c r="BO258" s="263"/>
      <c r="BP258" s="263"/>
      <c r="BQ258" s="263"/>
    </row>
    <row r="259" spans="4:69" x14ac:dyDescent="0.25">
      <c r="F259" s="9"/>
      <c r="G259" s="9"/>
      <c r="H259" s="265"/>
      <c r="I259" s="275"/>
      <c r="J259" s="265"/>
      <c r="K259" s="265"/>
      <c r="L259" s="265"/>
      <c r="M259" s="265"/>
      <c r="N259" s="265"/>
      <c r="O259" s="265"/>
      <c r="P259" s="265"/>
      <c r="Q259" s="264"/>
      <c r="R259" s="264"/>
      <c r="S259" s="264"/>
      <c r="T259" s="264"/>
      <c r="U259" s="268"/>
      <c r="V259" s="269"/>
      <c r="W259" s="268"/>
      <c r="X259" s="270"/>
      <c r="Y259" s="269"/>
      <c r="Z259" s="269"/>
      <c r="AA259" s="264"/>
      <c r="AB259" s="264"/>
      <c r="AC259" s="264"/>
      <c r="AD259" s="264"/>
      <c r="AE259" s="264"/>
      <c r="AF259" s="264"/>
      <c r="AG259" s="269"/>
      <c r="AH259" s="268"/>
      <c r="AI259" s="264"/>
      <c r="AJ259" s="264"/>
      <c r="AK259" s="264"/>
      <c r="AL259" s="264"/>
      <c r="AM259" s="264"/>
      <c r="AN259" s="264"/>
      <c r="AO259" s="264"/>
      <c r="AP259" s="264"/>
      <c r="AQ259" s="264"/>
      <c r="AR259" s="264"/>
      <c r="AS259" s="264"/>
      <c r="AT259" s="264"/>
      <c r="AU259" s="264"/>
      <c r="AV259" s="264"/>
      <c r="AW259" s="264"/>
      <c r="AX259" s="264"/>
      <c r="AY259" s="264"/>
      <c r="AZ259" s="264"/>
      <c r="BA259" s="264"/>
      <c r="BB259" s="270"/>
      <c r="BC259" s="270"/>
      <c r="BD259" s="270"/>
      <c r="BE259" s="270"/>
      <c r="BF259" s="264"/>
      <c r="BG259" s="264"/>
      <c r="BH259" s="265"/>
      <c r="BI259" s="265"/>
      <c r="BJ259" s="265"/>
      <c r="BK259" s="265"/>
      <c r="BL259" s="265"/>
      <c r="BM259" s="265"/>
      <c r="BN259" s="263"/>
      <c r="BO259" s="263"/>
      <c r="BP259" s="263"/>
      <c r="BQ259" s="263"/>
    </row>
    <row r="260" spans="4:69" x14ac:dyDescent="0.25">
      <c r="F260" s="9"/>
      <c r="G260" s="9"/>
      <c r="H260" s="265"/>
      <c r="I260" s="275"/>
      <c r="J260" s="265"/>
      <c r="K260" s="265"/>
      <c r="L260" s="265"/>
      <c r="M260" s="265"/>
      <c r="N260" s="265"/>
      <c r="O260" s="265"/>
      <c r="P260" s="265"/>
      <c r="Q260" s="264"/>
      <c r="R260" s="264"/>
      <c r="S260" s="264"/>
      <c r="T260" s="264"/>
      <c r="U260" s="268"/>
      <c r="V260" s="269"/>
      <c r="W260" s="268"/>
      <c r="X260" s="270"/>
      <c r="Y260" s="269"/>
      <c r="Z260" s="269"/>
      <c r="AA260" s="264"/>
      <c r="AB260" s="264"/>
      <c r="AC260" s="264"/>
      <c r="AD260" s="264"/>
      <c r="AE260" s="264"/>
      <c r="AF260" s="264"/>
      <c r="AG260" s="269"/>
      <c r="AH260" s="268"/>
      <c r="AI260" s="264"/>
      <c r="AJ260" s="264"/>
      <c r="AK260" s="264"/>
      <c r="AL260" s="264"/>
      <c r="AM260" s="264"/>
      <c r="AN260" s="264"/>
      <c r="AO260" s="264"/>
      <c r="AP260" s="264"/>
      <c r="AQ260" s="264"/>
      <c r="AR260" s="264"/>
      <c r="AS260" s="264"/>
      <c r="AT260" s="264"/>
      <c r="AU260" s="264"/>
      <c r="AV260" s="264"/>
      <c r="AW260" s="264"/>
      <c r="AX260" s="264"/>
      <c r="AY260" s="264"/>
      <c r="AZ260" s="264"/>
      <c r="BA260" s="264"/>
      <c r="BB260" s="270"/>
      <c r="BC260" s="270"/>
      <c r="BD260" s="270"/>
      <c r="BE260" s="270"/>
      <c r="BF260" s="264"/>
      <c r="BG260" s="264"/>
      <c r="BH260" s="265"/>
      <c r="BI260" s="265"/>
      <c r="BJ260" s="265"/>
      <c r="BK260" s="265"/>
      <c r="BL260" s="265"/>
      <c r="BM260" s="265"/>
      <c r="BN260" s="263"/>
      <c r="BO260" s="263"/>
      <c r="BP260" s="263"/>
      <c r="BQ260" s="263"/>
    </row>
    <row r="261" spans="4:69" x14ac:dyDescent="0.25">
      <c r="F261" s="9"/>
      <c r="G261" s="9"/>
      <c r="H261" s="265"/>
      <c r="I261" s="275"/>
      <c r="J261" s="265"/>
      <c r="K261" s="265"/>
      <c r="L261" s="265"/>
      <c r="M261" s="265"/>
      <c r="N261" s="265"/>
      <c r="O261" s="265"/>
      <c r="P261" s="265"/>
      <c r="Q261" s="264"/>
      <c r="R261" s="264"/>
      <c r="S261" s="264"/>
      <c r="T261" s="264"/>
      <c r="U261" s="268"/>
      <c r="V261" s="269"/>
      <c r="W261" s="268"/>
      <c r="X261" s="270"/>
      <c r="Y261" s="269"/>
      <c r="Z261" s="269"/>
      <c r="AA261" s="264"/>
      <c r="AB261" s="264"/>
      <c r="AC261" s="264"/>
      <c r="AD261" s="264"/>
      <c r="AE261" s="264"/>
      <c r="AF261" s="264"/>
      <c r="AG261" s="269"/>
      <c r="AH261" s="268"/>
      <c r="AI261" s="264"/>
      <c r="AJ261" s="264"/>
      <c r="AK261" s="264"/>
      <c r="AL261" s="264"/>
      <c r="AM261" s="264"/>
      <c r="AN261" s="264"/>
      <c r="AO261" s="264"/>
      <c r="AP261" s="264"/>
      <c r="AQ261" s="264"/>
      <c r="AR261" s="264"/>
      <c r="AS261" s="264"/>
      <c r="AT261" s="264"/>
      <c r="AU261" s="264"/>
      <c r="AV261" s="264"/>
      <c r="AW261" s="264"/>
      <c r="AX261" s="264"/>
      <c r="AY261" s="264"/>
      <c r="AZ261" s="264"/>
      <c r="BA261" s="264"/>
      <c r="BB261" s="270"/>
      <c r="BC261" s="270"/>
      <c r="BD261" s="270"/>
      <c r="BE261" s="270"/>
      <c r="BF261" s="264"/>
      <c r="BG261" s="264"/>
      <c r="BH261" s="265"/>
      <c r="BI261" s="265"/>
      <c r="BJ261" s="265"/>
      <c r="BK261" s="265"/>
      <c r="BL261" s="265"/>
      <c r="BM261" s="265"/>
      <c r="BN261" s="263"/>
      <c r="BO261" s="263"/>
      <c r="BP261" s="263"/>
      <c r="BQ261" s="263"/>
    </row>
    <row r="262" spans="4:69" x14ac:dyDescent="0.25">
      <c r="F262" s="9"/>
      <c r="G262" s="9"/>
      <c r="H262" s="265"/>
      <c r="I262" s="275"/>
      <c r="J262" s="265"/>
      <c r="K262" s="265"/>
      <c r="L262" s="265"/>
      <c r="M262" s="265"/>
      <c r="N262" s="265"/>
      <c r="O262" s="265"/>
      <c r="P262" s="265"/>
      <c r="Q262" s="264"/>
      <c r="R262" s="264"/>
      <c r="S262" s="264"/>
      <c r="T262" s="264"/>
      <c r="U262" s="268"/>
      <c r="V262" s="269"/>
      <c r="W262" s="268"/>
      <c r="X262" s="270"/>
      <c r="Y262" s="269"/>
      <c r="Z262" s="269"/>
      <c r="AA262" s="264"/>
      <c r="AB262" s="264"/>
      <c r="AC262" s="264"/>
      <c r="AD262" s="264"/>
      <c r="AE262" s="264"/>
      <c r="AF262" s="264"/>
      <c r="AG262" s="269"/>
      <c r="AH262" s="268"/>
      <c r="AI262" s="264"/>
      <c r="AJ262" s="264"/>
      <c r="AK262" s="264"/>
      <c r="AL262" s="264"/>
      <c r="AM262" s="264"/>
      <c r="AN262" s="264"/>
      <c r="AO262" s="264"/>
      <c r="AP262" s="264"/>
      <c r="AQ262" s="264"/>
      <c r="AR262" s="264"/>
      <c r="AS262" s="264"/>
      <c r="AT262" s="264"/>
      <c r="AU262" s="264"/>
      <c r="AV262" s="264"/>
      <c r="AW262" s="264"/>
      <c r="AX262" s="264"/>
      <c r="AY262" s="264"/>
      <c r="AZ262" s="264"/>
      <c r="BA262" s="264"/>
      <c r="BB262" s="270"/>
      <c r="BC262" s="270"/>
      <c r="BD262" s="270"/>
      <c r="BE262" s="270"/>
      <c r="BF262" s="264"/>
      <c r="BG262" s="264"/>
      <c r="BH262" s="265"/>
      <c r="BI262" s="265"/>
      <c r="BJ262" s="265"/>
      <c r="BK262" s="265"/>
      <c r="BL262" s="265"/>
      <c r="BM262" s="265"/>
      <c r="BN262" s="263"/>
      <c r="BO262" s="263"/>
      <c r="BP262" s="263"/>
      <c r="BQ262" s="263"/>
    </row>
    <row r="263" spans="4:69" x14ac:dyDescent="0.25">
      <c r="F263" s="9"/>
      <c r="G263" s="9"/>
      <c r="H263" s="265"/>
      <c r="I263" s="275"/>
      <c r="J263" s="265"/>
      <c r="K263" s="265"/>
      <c r="L263" s="265"/>
      <c r="M263" s="265"/>
      <c r="N263" s="265"/>
      <c r="O263" s="265"/>
      <c r="P263" s="265"/>
      <c r="Q263" s="264"/>
      <c r="R263" s="264"/>
      <c r="S263" s="264"/>
      <c r="T263" s="264"/>
      <c r="U263" s="268"/>
      <c r="V263" s="269"/>
      <c r="W263" s="268"/>
      <c r="X263" s="270"/>
      <c r="Y263" s="269"/>
      <c r="Z263" s="269"/>
      <c r="AA263" s="264"/>
      <c r="AB263" s="264"/>
      <c r="AC263" s="264"/>
      <c r="AD263" s="264"/>
      <c r="AE263" s="264"/>
      <c r="AF263" s="264"/>
      <c r="AG263" s="269"/>
      <c r="AH263" s="268"/>
      <c r="AI263" s="264"/>
      <c r="AJ263" s="264"/>
      <c r="AK263" s="264"/>
      <c r="AL263" s="264"/>
      <c r="AM263" s="264"/>
      <c r="AN263" s="264"/>
      <c r="AO263" s="264"/>
      <c r="AP263" s="264"/>
      <c r="AQ263" s="264"/>
      <c r="AR263" s="264"/>
      <c r="AS263" s="264"/>
      <c r="AT263" s="264"/>
      <c r="AU263" s="264"/>
      <c r="AV263" s="264"/>
      <c r="AW263" s="264"/>
      <c r="AX263" s="264"/>
      <c r="AY263" s="264"/>
      <c r="AZ263" s="264"/>
      <c r="BA263" s="264"/>
      <c r="BB263" s="270"/>
      <c r="BC263" s="270"/>
      <c r="BD263" s="270"/>
      <c r="BE263" s="270"/>
      <c r="BF263" s="264"/>
      <c r="BG263" s="264"/>
      <c r="BH263" s="265"/>
      <c r="BI263" s="265"/>
      <c r="BJ263" s="265"/>
      <c r="BK263" s="265"/>
      <c r="BL263" s="265"/>
      <c r="BM263" s="265"/>
      <c r="BN263" s="263"/>
      <c r="BO263" s="263"/>
      <c r="BP263" s="263"/>
      <c r="BQ263" s="263"/>
    </row>
    <row r="264" spans="4:69" x14ac:dyDescent="0.25">
      <c r="F264" s="9"/>
      <c r="G264" s="9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  <c r="AG264" s="265"/>
      <c r="AH264" s="265"/>
      <c r="AI264" s="265"/>
      <c r="AJ264" s="265"/>
      <c r="AK264" s="265"/>
      <c r="AL264" s="265"/>
      <c r="AM264" s="265"/>
      <c r="AN264" s="265"/>
      <c r="AO264" s="265"/>
      <c r="AP264" s="265"/>
      <c r="AQ264" s="265"/>
      <c r="AR264" s="265"/>
      <c r="AS264" s="265"/>
      <c r="AT264" s="265"/>
      <c r="AU264" s="265"/>
      <c r="AV264" s="265"/>
      <c r="AW264" s="265"/>
      <c r="AX264" s="265"/>
      <c r="AY264" s="265"/>
      <c r="AZ264" s="265"/>
      <c r="BA264" s="265"/>
      <c r="BB264" s="265"/>
      <c r="BC264" s="265"/>
      <c r="BD264" s="265"/>
      <c r="BE264" s="265"/>
      <c r="BF264" s="265"/>
      <c r="BG264" s="265"/>
      <c r="BH264" s="265"/>
      <c r="BI264" s="265"/>
      <c r="BJ264" s="265"/>
      <c r="BK264" s="265"/>
      <c r="BL264" s="265"/>
      <c r="BM264" s="265"/>
      <c r="BN264" s="263"/>
      <c r="BO264" s="263"/>
      <c r="BP264" s="263"/>
      <c r="BQ264" s="263"/>
    </row>
    <row r="265" spans="4:69" x14ac:dyDescent="0.25">
      <c r="D265" s="9"/>
      <c r="E265" s="9"/>
      <c r="F265" s="9"/>
      <c r="G265" s="9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  <c r="AG265" s="265"/>
      <c r="AH265" s="265"/>
      <c r="AI265" s="265"/>
      <c r="AJ265" s="265"/>
      <c r="AK265" s="265"/>
      <c r="AL265" s="265"/>
      <c r="AM265" s="265"/>
      <c r="AN265" s="265"/>
      <c r="AO265" s="265"/>
      <c r="AP265" s="265"/>
      <c r="AQ265" s="265"/>
      <c r="AR265" s="265"/>
      <c r="AS265" s="265"/>
      <c r="AT265" s="265"/>
      <c r="AU265" s="265"/>
      <c r="AV265" s="265"/>
      <c r="AW265" s="265"/>
      <c r="AX265" s="265"/>
      <c r="AY265" s="265"/>
      <c r="AZ265" s="265"/>
      <c r="BA265" s="265"/>
      <c r="BB265" s="265"/>
      <c r="BC265" s="265"/>
      <c r="BD265" s="265"/>
      <c r="BE265" s="265"/>
      <c r="BF265" s="265"/>
      <c r="BG265" s="265"/>
      <c r="BH265" s="265"/>
      <c r="BI265" s="265"/>
      <c r="BJ265" s="265"/>
      <c r="BK265" s="265"/>
      <c r="BL265" s="265"/>
      <c r="BM265" s="265"/>
      <c r="BN265" s="263"/>
      <c r="BO265" s="263"/>
      <c r="BP265" s="263"/>
      <c r="BQ265" s="263"/>
    </row>
    <row r="266" spans="4:69" x14ac:dyDescent="0.25">
      <c r="D266" s="9"/>
      <c r="E266" s="9"/>
      <c r="F266" s="9"/>
      <c r="G266" s="9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  <c r="AG266" s="265"/>
      <c r="AH266" s="265"/>
      <c r="AI266" s="265"/>
      <c r="AJ266" s="265"/>
      <c r="AK266" s="265"/>
      <c r="AL266" s="265"/>
      <c r="AM266" s="265"/>
      <c r="AN266" s="265"/>
      <c r="AO266" s="265"/>
      <c r="AP266" s="265"/>
      <c r="AQ266" s="265"/>
      <c r="AR266" s="265"/>
      <c r="AS266" s="265"/>
      <c r="AT266" s="265"/>
      <c r="AU266" s="265"/>
      <c r="AV266" s="265"/>
      <c r="AW266" s="265"/>
      <c r="AX266" s="265"/>
      <c r="AY266" s="265"/>
      <c r="AZ266" s="265"/>
      <c r="BA266" s="265"/>
      <c r="BB266" s="265"/>
      <c r="BC266" s="265"/>
      <c r="BD266" s="265"/>
      <c r="BE266" s="265"/>
      <c r="BF266" s="265"/>
      <c r="BG266" s="265"/>
      <c r="BH266" s="265"/>
      <c r="BI266" s="265"/>
      <c r="BJ266" s="265"/>
      <c r="BK266" s="265"/>
      <c r="BL266" s="265"/>
      <c r="BM266" s="265"/>
      <c r="BN266" s="263"/>
      <c r="BO266" s="263"/>
      <c r="BP266" s="263"/>
      <c r="BQ266" s="263"/>
    </row>
    <row r="267" spans="4:69" x14ac:dyDescent="0.25">
      <c r="D267" s="9"/>
      <c r="E267" s="9"/>
      <c r="F267" s="9"/>
      <c r="G267" s="9"/>
      <c r="H267" s="265"/>
      <c r="I267" s="281"/>
      <c r="J267" s="281"/>
      <c r="K267" s="281"/>
      <c r="L267" s="281"/>
      <c r="M267" s="281"/>
      <c r="N267" s="282"/>
      <c r="O267" s="282"/>
      <c r="P267" s="282"/>
      <c r="Q267" s="282"/>
      <c r="R267" s="282"/>
      <c r="S267" s="282"/>
      <c r="T267" s="282"/>
      <c r="U267" s="281"/>
      <c r="V267" s="282"/>
      <c r="W267" s="282"/>
      <c r="X267" s="282"/>
      <c r="Y267" s="282"/>
      <c r="Z267" s="282"/>
      <c r="AA267" s="282"/>
      <c r="AB267" s="282"/>
      <c r="AC267" s="282"/>
      <c r="AD267" s="282"/>
      <c r="AE267" s="271"/>
      <c r="AF267" s="271"/>
      <c r="AG267" s="281"/>
      <c r="AH267" s="281"/>
      <c r="AI267" s="281"/>
      <c r="AJ267" s="281"/>
      <c r="AK267" s="281"/>
      <c r="AL267" s="281"/>
      <c r="AM267" s="281"/>
      <c r="AN267" s="281"/>
      <c r="AO267" s="271"/>
      <c r="AP267" s="271"/>
      <c r="AQ267" s="281"/>
      <c r="AR267" s="281"/>
      <c r="AS267" s="281"/>
      <c r="AT267" s="281"/>
      <c r="AU267" s="281"/>
      <c r="AV267" s="281"/>
      <c r="AW267" s="281"/>
      <c r="AX267" s="281"/>
      <c r="AY267" s="281"/>
      <c r="AZ267" s="281"/>
      <c r="BA267" s="281"/>
      <c r="BB267" s="281"/>
      <c r="BC267" s="281"/>
      <c r="BD267" s="281"/>
      <c r="BE267" s="281"/>
      <c r="BF267" s="281"/>
      <c r="BG267" s="281"/>
      <c r="BH267" s="265"/>
      <c r="BI267" s="265"/>
      <c r="BJ267" s="265"/>
      <c r="BK267" s="265"/>
      <c r="BL267" s="265"/>
      <c r="BM267" s="265"/>
      <c r="BN267" s="263"/>
      <c r="BO267" s="263"/>
      <c r="BP267" s="263"/>
      <c r="BQ267" s="263"/>
    </row>
    <row r="268" spans="4:69" x14ac:dyDescent="0.25">
      <c r="D268" s="9"/>
      <c r="E268" s="9"/>
      <c r="F268" s="9"/>
      <c r="G268" s="9"/>
      <c r="H268" s="265"/>
      <c r="I268" s="275"/>
      <c r="J268" s="266"/>
      <c r="K268" s="267"/>
      <c r="L268" s="267"/>
      <c r="M268" s="267"/>
      <c r="N268" s="267"/>
      <c r="O268" s="267"/>
      <c r="P268" s="267"/>
      <c r="Q268" s="267"/>
      <c r="R268" s="267"/>
      <c r="S268" s="267"/>
      <c r="T268" s="267"/>
      <c r="U268" s="267"/>
      <c r="V268" s="267"/>
      <c r="W268" s="267"/>
      <c r="X268" s="267"/>
      <c r="Y268" s="267"/>
      <c r="Z268" s="267"/>
      <c r="AA268" s="267"/>
      <c r="AB268" s="267"/>
      <c r="AC268" s="267"/>
      <c r="AD268" s="267"/>
      <c r="AE268" s="267"/>
      <c r="AF268" s="267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65"/>
      <c r="BI268" s="265"/>
      <c r="BJ268" s="265"/>
      <c r="BK268" s="265"/>
      <c r="BL268" s="265"/>
      <c r="BM268" s="265"/>
      <c r="BN268" s="263"/>
      <c r="BO268" s="263"/>
      <c r="BP268" s="263"/>
      <c r="BQ268" s="263"/>
    </row>
    <row r="269" spans="4:69" x14ac:dyDescent="0.25">
      <c r="D269" s="9"/>
      <c r="E269" s="9"/>
      <c r="F269" s="9"/>
      <c r="G269" s="9"/>
      <c r="H269" s="265"/>
      <c r="I269" s="275"/>
      <c r="J269" s="265"/>
      <c r="K269" s="265"/>
      <c r="L269" s="265"/>
      <c r="M269" s="265"/>
      <c r="N269" s="265"/>
      <c r="O269" s="265"/>
      <c r="P269" s="265"/>
      <c r="Q269" s="264"/>
      <c r="R269" s="264"/>
      <c r="S269" s="264"/>
      <c r="T269" s="264"/>
      <c r="U269" s="268"/>
      <c r="V269" s="269"/>
      <c r="W269" s="268"/>
      <c r="X269" s="270"/>
      <c r="Y269" s="269"/>
      <c r="Z269" s="269"/>
      <c r="AA269" s="264"/>
      <c r="AB269" s="264"/>
      <c r="AC269" s="264"/>
      <c r="AD269" s="264"/>
      <c r="AE269" s="264"/>
      <c r="AF269" s="264"/>
      <c r="AG269" s="269"/>
      <c r="AH269" s="268"/>
      <c r="AI269" s="264"/>
      <c r="AJ269" s="264"/>
      <c r="AK269" s="264"/>
      <c r="AL269" s="264"/>
      <c r="AM269" s="264"/>
      <c r="AN269" s="264"/>
      <c r="AO269" s="264"/>
      <c r="AP269" s="264"/>
      <c r="AQ269" s="264"/>
      <c r="AR269" s="264"/>
      <c r="AS269" s="264"/>
      <c r="AT269" s="264"/>
      <c r="AU269" s="264"/>
      <c r="AV269" s="264"/>
      <c r="AW269" s="264"/>
      <c r="AX269" s="264"/>
      <c r="AY269" s="264"/>
      <c r="AZ269" s="264"/>
      <c r="BA269" s="264"/>
      <c r="BB269" s="264"/>
      <c r="BC269" s="264"/>
      <c r="BD269" s="264"/>
      <c r="BE269" s="264"/>
      <c r="BF269" s="264"/>
      <c r="BG269" s="264"/>
      <c r="BH269" s="265"/>
      <c r="BI269" s="265"/>
      <c r="BJ269" s="265"/>
      <c r="BK269" s="265"/>
      <c r="BL269" s="265"/>
      <c r="BM269" s="265"/>
      <c r="BN269" s="263"/>
      <c r="BO269" s="263"/>
      <c r="BP269" s="263"/>
      <c r="BQ269" s="263"/>
    </row>
    <row r="270" spans="4:69" x14ac:dyDescent="0.25">
      <c r="D270" s="9"/>
      <c r="E270" s="9"/>
      <c r="F270" s="9"/>
      <c r="G270" s="9"/>
      <c r="H270" s="265"/>
      <c r="I270" s="275"/>
      <c r="J270" s="265"/>
      <c r="K270" s="265"/>
      <c r="L270" s="265"/>
      <c r="M270" s="265"/>
      <c r="N270" s="265"/>
      <c r="O270" s="265"/>
      <c r="P270" s="265"/>
      <c r="Q270" s="264"/>
      <c r="R270" s="264"/>
      <c r="S270" s="264"/>
      <c r="T270" s="264"/>
      <c r="U270" s="268"/>
      <c r="V270" s="269"/>
      <c r="W270" s="268"/>
      <c r="X270" s="270"/>
      <c r="Y270" s="269"/>
      <c r="Z270" s="269"/>
      <c r="AA270" s="264"/>
      <c r="AB270" s="264"/>
      <c r="AC270" s="264"/>
      <c r="AD270" s="264"/>
      <c r="AE270" s="264"/>
      <c r="AF270" s="264"/>
      <c r="AG270" s="269"/>
      <c r="AH270" s="268"/>
      <c r="AI270" s="264"/>
      <c r="AJ270" s="264"/>
      <c r="AK270" s="264"/>
      <c r="AL270" s="264"/>
      <c r="AM270" s="264"/>
      <c r="AN270" s="264"/>
      <c r="AO270" s="264"/>
      <c r="AP270" s="264"/>
      <c r="AQ270" s="264"/>
      <c r="AR270" s="264"/>
      <c r="AS270" s="264"/>
      <c r="AT270" s="264"/>
      <c r="AU270" s="264"/>
      <c r="AV270" s="264"/>
      <c r="AW270" s="264"/>
      <c r="AX270" s="264"/>
      <c r="AY270" s="264"/>
      <c r="AZ270" s="264"/>
      <c r="BA270" s="264"/>
      <c r="BB270" s="270"/>
      <c r="BC270" s="270"/>
      <c r="BD270" s="270"/>
      <c r="BE270" s="270"/>
      <c r="BF270" s="264"/>
      <c r="BG270" s="264"/>
      <c r="BH270" s="265"/>
      <c r="BI270" s="265"/>
      <c r="BJ270" s="265"/>
      <c r="BK270" s="265"/>
      <c r="BL270" s="265"/>
      <c r="BM270" s="265"/>
      <c r="BN270" s="263"/>
      <c r="BO270" s="263"/>
      <c r="BP270" s="263"/>
      <c r="BQ270" s="263"/>
    </row>
    <row r="271" spans="4:69" x14ac:dyDescent="0.25">
      <c r="D271" s="9"/>
      <c r="E271" s="9"/>
      <c r="F271" s="9"/>
      <c r="G271" s="9"/>
      <c r="H271" s="265"/>
      <c r="I271" s="275"/>
      <c r="J271" s="265"/>
      <c r="K271" s="265"/>
      <c r="L271" s="265"/>
      <c r="M271" s="265"/>
      <c r="N271" s="265"/>
      <c r="O271" s="265"/>
      <c r="P271" s="265"/>
      <c r="Q271" s="264"/>
      <c r="R271" s="264"/>
      <c r="S271" s="264"/>
      <c r="T271" s="264"/>
      <c r="U271" s="268"/>
      <c r="V271" s="269"/>
      <c r="W271" s="268"/>
      <c r="X271" s="270"/>
      <c r="Y271" s="269"/>
      <c r="Z271" s="269"/>
      <c r="AA271" s="264"/>
      <c r="AB271" s="264"/>
      <c r="AC271" s="264"/>
      <c r="AD271" s="264"/>
      <c r="AE271" s="264"/>
      <c r="AF271" s="264"/>
      <c r="AG271" s="269"/>
      <c r="AH271" s="268"/>
      <c r="AI271" s="264"/>
      <c r="AJ271" s="264"/>
      <c r="AK271" s="264"/>
      <c r="AL271" s="264"/>
      <c r="AM271" s="264"/>
      <c r="AN271" s="264"/>
      <c r="AO271" s="264"/>
      <c r="AP271" s="264"/>
      <c r="AQ271" s="264"/>
      <c r="AR271" s="264"/>
      <c r="AS271" s="264"/>
      <c r="AT271" s="264"/>
      <c r="AU271" s="264"/>
      <c r="AV271" s="264"/>
      <c r="AW271" s="264"/>
      <c r="AX271" s="264"/>
      <c r="AY271" s="264"/>
      <c r="AZ271" s="264"/>
      <c r="BA271" s="264"/>
      <c r="BB271" s="270"/>
      <c r="BC271" s="270"/>
      <c r="BD271" s="270"/>
      <c r="BE271" s="270"/>
      <c r="BF271" s="264"/>
      <c r="BG271" s="264"/>
      <c r="BH271" s="265"/>
      <c r="BI271" s="265"/>
      <c r="BJ271" s="265"/>
      <c r="BK271" s="265"/>
      <c r="BL271" s="265"/>
      <c r="BM271" s="265"/>
      <c r="BN271" s="263"/>
      <c r="BO271" s="263"/>
      <c r="BP271" s="263"/>
      <c r="BQ271" s="263"/>
    </row>
    <row r="272" spans="4:69" x14ac:dyDescent="0.25">
      <c r="D272" s="9"/>
      <c r="E272" s="9"/>
      <c r="F272" s="9"/>
      <c r="G272" s="9"/>
      <c r="H272" s="265"/>
      <c r="I272" s="275"/>
      <c r="J272" s="265"/>
      <c r="K272" s="265"/>
      <c r="L272" s="265"/>
      <c r="M272" s="265"/>
      <c r="N272" s="265"/>
      <c r="O272" s="265"/>
      <c r="P272" s="265"/>
      <c r="Q272" s="264"/>
      <c r="R272" s="264"/>
      <c r="S272" s="264"/>
      <c r="T272" s="264"/>
      <c r="U272" s="268"/>
      <c r="V272" s="269"/>
      <c r="W272" s="268"/>
      <c r="X272" s="270"/>
      <c r="Y272" s="269"/>
      <c r="Z272" s="269"/>
      <c r="AA272" s="264"/>
      <c r="AB272" s="264"/>
      <c r="AC272" s="264"/>
      <c r="AD272" s="264"/>
      <c r="AE272" s="264"/>
      <c r="AF272" s="264"/>
      <c r="AG272" s="269"/>
      <c r="AH272" s="268"/>
      <c r="AI272" s="264"/>
      <c r="AJ272" s="264"/>
      <c r="AK272" s="264"/>
      <c r="AL272" s="264"/>
      <c r="AM272" s="264"/>
      <c r="AN272" s="264"/>
      <c r="AO272" s="264"/>
      <c r="AP272" s="264"/>
      <c r="AQ272" s="264"/>
      <c r="AR272" s="264"/>
      <c r="AS272" s="264"/>
      <c r="AT272" s="264"/>
      <c r="AU272" s="264"/>
      <c r="AV272" s="264"/>
      <c r="AW272" s="264"/>
      <c r="AX272" s="264"/>
      <c r="AY272" s="264"/>
      <c r="AZ272" s="264"/>
      <c r="BA272" s="264"/>
      <c r="BB272" s="270"/>
      <c r="BC272" s="270"/>
      <c r="BD272" s="270"/>
      <c r="BE272" s="270"/>
      <c r="BF272" s="264"/>
      <c r="BG272" s="264"/>
      <c r="BH272" s="265"/>
      <c r="BI272" s="265"/>
      <c r="BJ272" s="265"/>
      <c r="BK272" s="265"/>
      <c r="BL272" s="265"/>
      <c r="BM272" s="265"/>
      <c r="BN272" s="263"/>
      <c r="BO272" s="263"/>
      <c r="BP272" s="263"/>
      <c r="BQ272" s="263"/>
    </row>
    <row r="273" spans="4:70" x14ac:dyDescent="0.25">
      <c r="D273" s="9"/>
      <c r="E273" s="9"/>
      <c r="F273" s="9"/>
      <c r="G273" s="9"/>
      <c r="H273" s="265"/>
      <c r="I273" s="275"/>
      <c r="J273" s="265"/>
      <c r="K273" s="265"/>
      <c r="L273" s="265"/>
      <c r="M273" s="265"/>
      <c r="N273" s="265"/>
      <c r="O273" s="265"/>
      <c r="P273" s="265"/>
      <c r="Q273" s="264"/>
      <c r="R273" s="264"/>
      <c r="S273" s="264"/>
      <c r="T273" s="264"/>
      <c r="U273" s="268"/>
      <c r="V273" s="269"/>
      <c r="W273" s="268"/>
      <c r="X273" s="270"/>
      <c r="Y273" s="269"/>
      <c r="Z273" s="269"/>
      <c r="AA273" s="264"/>
      <c r="AB273" s="264"/>
      <c r="AC273" s="264"/>
      <c r="AD273" s="264"/>
      <c r="AE273" s="264"/>
      <c r="AF273" s="264"/>
      <c r="AG273" s="269"/>
      <c r="AH273" s="268"/>
      <c r="AI273" s="264"/>
      <c r="AJ273" s="264"/>
      <c r="AK273" s="264"/>
      <c r="AL273" s="264"/>
      <c r="AM273" s="264"/>
      <c r="AN273" s="264"/>
      <c r="AO273" s="264"/>
      <c r="AP273" s="264"/>
      <c r="AQ273" s="264"/>
      <c r="AR273" s="264"/>
      <c r="AS273" s="264"/>
      <c r="AT273" s="264"/>
      <c r="AU273" s="264"/>
      <c r="AV273" s="264"/>
      <c r="AW273" s="264"/>
      <c r="AX273" s="264"/>
      <c r="AY273" s="264"/>
      <c r="AZ273" s="264"/>
      <c r="BA273" s="264"/>
      <c r="BB273" s="270"/>
      <c r="BC273" s="270"/>
      <c r="BD273" s="270"/>
      <c r="BE273" s="270"/>
      <c r="BF273" s="264"/>
      <c r="BG273" s="264"/>
      <c r="BH273" s="265"/>
      <c r="BI273" s="265"/>
      <c r="BJ273" s="265"/>
      <c r="BK273" s="265"/>
      <c r="BL273" s="265"/>
      <c r="BM273" s="265"/>
      <c r="BN273" s="263"/>
      <c r="BO273" s="263"/>
      <c r="BP273" s="263"/>
      <c r="BQ273" s="263"/>
    </row>
    <row r="274" spans="4:70" x14ac:dyDescent="0.25">
      <c r="D274" s="9"/>
      <c r="E274" s="9"/>
      <c r="F274" s="9"/>
      <c r="G274" s="9"/>
      <c r="H274" s="265"/>
      <c r="I274" s="275"/>
      <c r="J274" s="265"/>
      <c r="K274" s="265"/>
      <c r="L274" s="265"/>
      <c r="M274" s="265"/>
      <c r="N274" s="265"/>
      <c r="O274" s="265"/>
      <c r="P274" s="265"/>
      <c r="Q274" s="264"/>
      <c r="R274" s="264"/>
      <c r="S274" s="264"/>
      <c r="T274" s="264"/>
      <c r="U274" s="268"/>
      <c r="V274" s="269"/>
      <c r="W274" s="268"/>
      <c r="X274" s="270"/>
      <c r="Y274" s="269"/>
      <c r="Z274" s="269"/>
      <c r="AA274" s="264"/>
      <c r="AB274" s="264"/>
      <c r="AC274" s="264"/>
      <c r="AD274" s="264"/>
      <c r="AE274" s="264"/>
      <c r="AF274" s="264"/>
      <c r="AG274" s="269"/>
      <c r="AH274" s="268"/>
      <c r="AI274" s="264"/>
      <c r="AJ274" s="264"/>
      <c r="AK274" s="264"/>
      <c r="AL274" s="264"/>
      <c r="AM274" s="264"/>
      <c r="AN274" s="264"/>
      <c r="AO274" s="264"/>
      <c r="AP274" s="264"/>
      <c r="AQ274" s="264"/>
      <c r="AR274" s="264"/>
      <c r="AS274" s="264"/>
      <c r="AT274" s="264"/>
      <c r="AU274" s="264"/>
      <c r="AV274" s="264"/>
      <c r="AW274" s="264"/>
      <c r="AX274" s="264"/>
      <c r="AY274" s="264"/>
      <c r="AZ274" s="264"/>
      <c r="BA274" s="264"/>
      <c r="BB274" s="270"/>
      <c r="BC274" s="270"/>
      <c r="BD274" s="270"/>
      <c r="BE274" s="270"/>
      <c r="BF274" s="264"/>
      <c r="BG274" s="264"/>
      <c r="BH274" s="265"/>
      <c r="BI274" s="265"/>
      <c r="BJ274" s="265"/>
      <c r="BK274" s="265"/>
      <c r="BL274" s="265"/>
      <c r="BM274" s="265"/>
      <c r="BN274" s="263"/>
      <c r="BO274" s="263"/>
      <c r="BP274" s="263"/>
      <c r="BQ274" s="263"/>
    </row>
    <row r="275" spans="4:70" x14ac:dyDescent="0.25">
      <c r="D275" s="9"/>
      <c r="E275" s="9"/>
      <c r="F275" s="9"/>
      <c r="G275" s="9"/>
      <c r="H275" s="265"/>
      <c r="I275" s="275"/>
      <c r="J275" s="265"/>
      <c r="K275" s="265"/>
      <c r="L275" s="265"/>
      <c r="M275" s="265"/>
      <c r="N275" s="265"/>
      <c r="O275" s="265"/>
      <c r="P275" s="265"/>
      <c r="Q275" s="264"/>
      <c r="R275" s="264"/>
      <c r="S275" s="264"/>
      <c r="T275" s="264"/>
      <c r="U275" s="268"/>
      <c r="V275" s="269"/>
      <c r="W275" s="268"/>
      <c r="X275" s="270"/>
      <c r="Y275" s="269"/>
      <c r="Z275" s="269"/>
      <c r="AA275" s="264"/>
      <c r="AB275" s="264"/>
      <c r="AC275" s="264"/>
      <c r="AD275" s="264"/>
      <c r="AE275" s="264"/>
      <c r="AF275" s="264"/>
      <c r="AG275" s="269"/>
      <c r="AH275" s="268"/>
      <c r="AI275" s="264"/>
      <c r="AJ275" s="264"/>
      <c r="AK275" s="264"/>
      <c r="AL275" s="264"/>
      <c r="AM275" s="264"/>
      <c r="AN275" s="264"/>
      <c r="AO275" s="264"/>
      <c r="AP275" s="264"/>
      <c r="AQ275" s="264"/>
      <c r="AR275" s="264"/>
      <c r="AS275" s="264"/>
      <c r="AT275" s="264"/>
      <c r="AU275" s="264"/>
      <c r="AV275" s="264"/>
      <c r="AW275" s="264"/>
      <c r="AX275" s="264"/>
      <c r="AY275" s="264"/>
      <c r="AZ275" s="264"/>
      <c r="BA275" s="264"/>
      <c r="BB275" s="270"/>
      <c r="BC275" s="270"/>
      <c r="BD275" s="270"/>
      <c r="BE275" s="270"/>
      <c r="BF275" s="264"/>
      <c r="BG275" s="264"/>
      <c r="BH275" s="265"/>
      <c r="BI275" s="265"/>
      <c r="BJ275" s="265"/>
      <c r="BK275" s="265"/>
      <c r="BL275" s="265"/>
      <c r="BM275" s="265"/>
      <c r="BN275" s="263"/>
      <c r="BO275" s="263"/>
      <c r="BP275" s="263"/>
      <c r="BQ275" s="263"/>
    </row>
    <row r="276" spans="4:70" x14ac:dyDescent="0.25">
      <c r="D276" s="9"/>
      <c r="E276" s="9"/>
      <c r="F276" s="9"/>
      <c r="G276" s="9"/>
      <c r="H276" s="265"/>
      <c r="I276" s="275"/>
      <c r="J276" s="265"/>
      <c r="K276" s="265"/>
      <c r="L276" s="265"/>
      <c r="M276" s="265"/>
      <c r="N276" s="265"/>
      <c r="O276" s="265"/>
      <c r="P276" s="265"/>
      <c r="Q276" s="264"/>
      <c r="R276" s="264"/>
      <c r="S276" s="264"/>
      <c r="T276" s="264"/>
      <c r="U276" s="268"/>
      <c r="V276" s="269"/>
      <c r="W276" s="268"/>
      <c r="X276" s="270"/>
      <c r="Y276" s="269"/>
      <c r="Z276" s="269"/>
      <c r="AA276" s="264"/>
      <c r="AB276" s="264"/>
      <c r="AC276" s="264"/>
      <c r="AD276" s="264"/>
      <c r="AE276" s="264"/>
      <c r="AF276" s="264"/>
      <c r="AG276" s="269"/>
      <c r="AH276" s="268"/>
      <c r="AI276" s="264"/>
      <c r="AJ276" s="264"/>
      <c r="AK276" s="264"/>
      <c r="AL276" s="264"/>
      <c r="AM276" s="264"/>
      <c r="AN276" s="264"/>
      <c r="AO276" s="264"/>
      <c r="AP276" s="264"/>
      <c r="AQ276" s="264"/>
      <c r="AR276" s="264"/>
      <c r="AS276" s="264"/>
      <c r="AT276" s="264"/>
      <c r="AU276" s="264"/>
      <c r="AV276" s="264"/>
      <c r="AW276" s="264"/>
      <c r="AX276" s="264"/>
      <c r="AY276" s="264"/>
      <c r="AZ276" s="264"/>
      <c r="BA276" s="264"/>
      <c r="BB276" s="270"/>
      <c r="BC276" s="270"/>
      <c r="BD276" s="270"/>
      <c r="BE276" s="270"/>
      <c r="BF276" s="264"/>
      <c r="BG276" s="264"/>
      <c r="BH276" s="265"/>
      <c r="BI276" s="265"/>
      <c r="BJ276" s="265"/>
      <c r="BK276" s="265"/>
      <c r="BL276" s="265"/>
      <c r="BM276" s="265"/>
      <c r="BN276" s="263"/>
      <c r="BO276" s="263"/>
      <c r="BP276" s="263"/>
      <c r="BQ276" s="263"/>
    </row>
    <row r="277" spans="4:70" x14ac:dyDescent="0.25">
      <c r="D277" s="9"/>
      <c r="E277" s="9"/>
      <c r="F277" s="9"/>
      <c r="G277" s="9"/>
      <c r="H277" s="265"/>
      <c r="I277" s="275"/>
      <c r="J277" s="265"/>
      <c r="K277" s="265"/>
      <c r="L277" s="265"/>
      <c r="M277" s="265"/>
      <c r="N277" s="265"/>
      <c r="O277" s="265"/>
      <c r="P277" s="265"/>
      <c r="Q277" s="264"/>
      <c r="R277" s="264"/>
      <c r="S277" s="264"/>
      <c r="T277" s="264"/>
      <c r="U277" s="268"/>
      <c r="V277" s="269"/>
      <c r="W277" s="268"/>
      <c r="X277" s="270"/>
      <c r="Y277" s="269"/>
      <c r="Z277" s="269"/>
      <c r="AA277" s="264"/>
      <c r="AB277" s="264"/>
      <c r="AC277" s="264"/>
      <c r="AD277" s="264"/>
      <c r="AE277" s="264"/>
      <c r="AF277" s="264"/>
      <c r="AG277" s="269"/>
      <c r="AH277" s="268"/>
      <c r="AI277" s="264"/>
      <c r="AJ277" s="264"/>
      <c r="AK277" s="264"/>
      <c r="AL277" s="264"/>
      <c r="AM277" s="264"/>
      <c r="AN277" s="264"/>
      <c r="AO277" s="264"/>
      <c r="AP277" s="264"/>
      <c r="AQ277" s="264"/>
      <c r="AR277" s="264"/>
      <c r="AS277" s="264"/>
      <c r="AT277" s="264"/>
      <c r="AU277" s="264"/>
      <c r="AV277" s="264"/>
      <c r="AW277" s="264"/>
      <c r="AX277" s="264"/>
      <c r="AY277" s="264"/>
      <c r="AZ277" s="264"/>
      <c r="BA277" s="264"/>
      <c r="BB277" s="270"/>
      <c r="BC277" s="270"/>
      <c r="BD277" s="270"/>
      <c r="BE277" s="270"/>
      <c r="BF277" s="264"/>
      <c r="BG277" s="264"/>
      <c r="BH277" s="265"/>
      <c r="BI277" s="265"/>
      <c r="BJ277" s="265"/>
      <c r="BK277" s="265"/>
      <c r="BL277" s="265"/>
      <c r="BM277" s="265"/>
      <c r="BN277" s="263"/>
      <c r="BO277" s="263"/>
      <c r="BP277" s="263"/>
      <c r="BQ277" s="263"/>
    </row>
    <row r="278" spans="4:70" x14ac:dyDescent="0.25">
      <c r="D278" s="9"/>
      <c r="E278" s="9"/>
      <c r="F278" s="9"/>
      <c r="G278" s="9"/>
      <c r="H278" s="265"/>
      <c r="I278" s="275"/>
      <c r="J278" s="265"/>
      <c r="K278" s="265"/>
      <c r="L278" s="265"/>
      <c r="M278" s="265"/>
      <c r="N278" s="265"/>
      <c r="O278" s="265"/>
      <c r="P278" s="265"/>
      <c r="Q278" s="264"/>
      <c r="R278" s="264"/>
      <c r="S278" s="264"/>
      <c r="T278" s="264"/>
      <c r="U278" s="268"/>
      <c r="V278" s="269"/>
      <c r="W278" s="268"/>
      <c r="X278" s="270"/>
      <c r="Y278" s="269"/>
      <c r="Z278" s="269"/>
      <c r="AA278" s="264"/>
      <c r="AB278" s="264"/>
      <c r="AC278" s="264"/>
      <c r="AD278" s="264"/>
      <c r="AE278" s="264"/>
      <c r="AF278" s="264"/>
      <c r="AG278" s="269"/>
      <c r="AH278" s="268"/>
      <c r="AI278" s="264"/>
      <c r="AJ278" s="264"/>
      <c r="AK278" s="264"/>
      <c r="AL278" s="264"/>
      <c r="AM278" s="264"/>
      <c r="AN278" s="264"/>
      <c r="AO278" s="264"/>
      <c r="AP278" s="264"/>
      <c r="AQ278" s="264"/>
      <c r="AR278" s="264"/>
      <c r="AS278" s="264"/>
      <c r="AT278" s="264"/>
      <c r="AU278" s="264"/>
      <c r="AV278" s="264"/>
      <c r="AW278" s="264"/>
      <c r="AX278" s="264"/>
      <c r="AY278" s="264"/>
      <c r="AZ278" s="264"/>
      <c r="BA278" s="264"/>
      <c r="BB278" s="270"/>
      <c r="BC278" s="270"/>
      <c r="BD278" s="270"/>
      <c r="BE278" s="270"/>
      <c r="BF278" s="264"/>
      <c r="BG278" s="264"/>
      <c r="BH278" s="265"/>
      <c r="BI278" s="265"/>
      <c r="BJ278" s="265"/>
      <c r="BK278" s="265"/>
      <c r="BL278" s="265"/>
      <c r="BM278" s="265"/>
      <c r="BN278" s="263"/>
      <c r="BO278" s="263"/>
      <c r="BP278" s="263"/>
      <c r="BQ278" s="263"/>
    </row>
    <row r="279" spans="4:70" x14ac:dyDescent="0.25">
      <c r="D279" s="9"/>
      <c r="E279" s="9"/>
      <c r="F279" s="9"/>
      <c r="G279" s="9"/>
      <c r="H279" s="265"/>
      <c r="I279" s="275"/>
      <c r="J279" s="265"/>
      <c r="K279" s="265"/>
      <c r="L279" s="265"/>
      <c r="M279" s="265"/>
      <c r="N279" s="265"/>
      <c r="O279" s="265"/>
      <c r="P279" s="265"/>
      <c r="Q279" s="264"/>
      <c r="R279" s="264"/>
      <c r="S279" s="264"/>
      <c r="T279" s="264"/>
      <c r="U279" s="268"/>
      <c r="V279" s="269"/>
      <c r="W279" s="268"/>
      <c r="X279" s="270"/>
      <c r="Y279" s="269"/>
      <c r="Z279" s="269"/>
      <c r="AA279" s="264"/>
      <c r="AB279" s="264"/>
      <c r="AC279" s="264"/>
      <c r="AD279" s="264"/>
      <c r="AE279" s="264"/>
      <c r="AF279" s="264"/>
      <c r="AG279" s="269"/>
      <c r="AH279" s="268"/>
      <c r="AI279" s="264"/>
      <c r="AJ279" s="264"/>
      <c r="AK279" s="264"/>
      <c r="AL279" s="264"/>
      <c r="AM279" s="264"/>
      <c r="AN279" s="264"/>
      <c r="AO279" s="264"/>
      <c r="AP279" s="264"/>
      <c r="AQ279" s="264"/>
      <c r="AR279" s="264"/>
      <c r="AS279" s="264"/>
      <c r="AT279" s="264"/>
      <c r="AU279" s="264"/>
      <c r="AV279" s="264"/>
      <c r="AW279" s="264"/>
      <c r="AX279" s="264"/>
      <c r="AY279" s="264"/>
      <c r="AZ279" s="264"/>
      <c r="BA279" s="264"/>
      <c r="BB279" s="270"/>
      <c r="BC279" s="270"/>
      <c r="BD279" s="270"/>
      <c r="BE279" s="270"/>
      <c r="BF279" s="264"/>
      <c r="BG279" s="264"/>
      <c r="BH279" s="265"/>
      <c r="BI279" s="265"/>
      <c r="BJ279" s="265"/>
      <c r="BK279" s="265"/>
      <c r="BL279" s="265"/>
      <c r="BM279" s="265"/>
      <c r="BN279" s="265"/>
      <c r="BO279" s="265"/>
      <c r="BP279" s="265"/>
      <c r="BQ279" s="265"/>
      <c r="BR279" s="9"/>
    </row>
    <row r="280" spans="4:70" x14ac:dyDescent="0.25">
      <c r="D280" s="9"/>
      <c r="E280" s="9"/>
      <c r="F280" s="9"/>
      <c r="G280" s="9"/>
      <c r="H280" s="265"/>
      <c r="I280" s="275"/>
      <c r="J280" s="265"/>
      <c r="K280" s="265"/>
      <c r="L280" s="265"/>
      <c r="M280" s="265"/>
      <c r="N280" s="265"/>
      <c r="O280" s="265"/>
      <c r="P280" s="265"/>
      <c r="Q280" s="264"/>
      <c r="R280" s="264"/>
      <c r="S280" s="264"/>
      <c r="T280" s="264"/>
      <c r="U280" s="268"/>
      <c r="V280" s="269"/>
      <c r="W280" s="268"/>
      <c r="X280" s="270"/>
      <c r="Y280" s="269"/>
      <c r="Z280" s="269"/>
      <c r="AA280" s="264"/>
      <c r="AB280" s="264"/>
      <c r="AC280" s="264"/>
      <c r="AD280" s="264"/>
      <c r="AE280" s="264"/>
      <c r="AF280" s="264"/>
      <c r="AG280" s="269"/>
      <c r="AH280" s="268"/>
      <c r="AI280" s="264"/>
      <c r="AJ280" s="264"/>
      <c r="AK280" s="264"/>
      <c r="AL280" s="264"/>
      <c r="AM280" s="264"/>
      <c r="AN280" s="264"/>
      <c r="AO280" s="264"/>
      <c r="AP280" s="264"/>
      <c r="AQ280" s="264"/>
      <c r="AR280" s="264"/>
      <c r="AS280" s="264"/>
      <c r="AT280" s="264"/>
      <c r="AU280" s="264"/>
      <c r="AV280" s="264"/>
      <c r="AW280" s="264"/>
      <c r="AX280" s="264"/>
      <c r="AY280" s="264"/>
      <c r="AZ280" s="264"/>
      <c r="BA280" s="264"/>
      <c r="BB280" s="270"/>
      <c r="BC280" s="270"/>
      <c r="BD280" s="270"/>
      <c r="BE280" s="270"/>
      <c r="BF280" s="264"/>
      <c r="BG280" s="264"/>
      <c r="BH280" s="265"/>
      <c r="BI280" s="265"/>
      <c r="BJ280" s="265"/>
      <c r="BK280" s="265"/>
      <c r="BL280" s="265"/>
      <c r="BM280" s="265"/>
      <c r="BN280" s="265"/>
      <c r="BO280" s="265"/>
      <c r="BP280" s="265"/>
      <c r="BQ280" s="265"/>
      <c r="BR280" s="9"/>
    </row>
    <row r="281" spans="4:70" x14ac:dyDescent="0.25">
      <c r="D281" s="9"/>
      <c r="E281" s="9"/>
      <c r="F281" s="9"/>
      <c r="G281" s="9"/>
      <c r="H281" s="265"/>
      <c r="I281" s="275"/>
      <c r="J281" s="265"/>
      <c r="K281" s="265"/>
      <c r="L281" s="265"/>
      <c r="M281" s="265"/>
      <c r="N281" s="265"/>
      <c r="O281" s="265"/>
      <c r="P281" s="265"/>
      <c r="Q281" s="264"/>
      <c r="R281" s="264"/>
      <c r="S281" s="264"/>
      <c r="T281" s="264"/>
      <c r="U281" s="268"/>
      <c r="V281" s="269"/>
      <c r="W281" s="268"/>
      <c r="X281" s="270"/>
      <c r="Y281" s="269"/>
      <c r="Z281" s="269"/>
      <c r="AA281" s="264"/>
      <c r="AB281" s="264"/>
      <c r="AC281" s="264"/>
      <c r="AD281" s="264"/>
      <c r="AE281" s="264"/>
      <c r="AF281" s="264"/>
      <c r="AG281" s="269"/>
      <c r="AH281" s="268"/>
      <c r="AI281" s="264"/>
      <c r="AJ281" s="264"/>
      <c r="AK281" s="264"/>
      <c r="AL281" s="264"/>
      <c r="AM281" s="264"/>
      <c r="AN281" s="264"/>
      <c r="AO281" s="264"/>
      <c r="AP281" s="264"/>
      <c r="AQ281" s="264"/>
      <c r="AR281" s="264"/>
      <c r="AS281" s="264"/>
      <c r="AT281" s="264"/>
      <c r="AU281" s="264"/>
      <c r="AV281" s="264"/>
      <c r="AW281" s="264"/>
      <c r="AX281" s="264"/>
      <c r="AY281" s="264"/>
      <c r="AZ281" s="264"/>
      <c r="BA281" s="264"/>
      <c r="BB281" s="270"/>
      <c r="BC281" s="270"/>
      <c r="BD281" s="270"/>
      <c r="BE281" s="270"/>
      <c r="BF281" s="264"/>
      <c r="BG281" s="264"/>
      <c r="BH281" s="265"/>
      <c r="BI281" s="265"/>
      <c r="BJ281" s="265"/>
      <c r="BK281" s="265"/>
      <c r="BL281" s="265"/>
      <c r="BM281" s="265"/>
      <c r="BN281" s="265"/>
      <c r="BO281" s="265"/>
      <c r="BP281" s="265"/>
      <c r="BQ281" s="265"/>
      <c r="BR281" s="9"/>
    </row>
    <row r="282" spans="4:70" x14ac:dyDescent="0.25">
      <c r="D282" s="9"/>
      <c r="E282" s="9"/>
      <c r="F282" s="9"/>
      <c r="G282" s="9"/>
      <c r="H282" s="265"/>
      <c r="I282" s="275"/>
      <c r="J282" s="265"/>
      <c r="K282" s="265"/>
      <c r="L282" s="265"/>
      <c r="M282" s="265"/>
      <c r="N282" s="265"/>
      <c r="O282" s="265"/>
      <c r="P282" s="265"/>
      <c r="Q282" s="264"/>
      <c r="R282" s="264"/>
      <c r="S282" s="264"/>
      <c r="T282" s="264"/>
      <c r="U282" s="268"/>
      <c r="V282" s="269"/>
      <c r="W282" s="268"/>
      <c r="X282" s="270"/>
      <c r="Y282" s="269"/>
      <c r="Z282" s="269"/>
      <c r="AA282" s="264"/>
      <c r="AB282" s="264"/>
      <c r="AC282" s="264"/>
      <c r="AD282" s="264"/>
      <c r="AE282" s="264"/>
      <c r="AF282" s="264"/>
      <c r="AG282" s="269"/>
      <c r="AH282" s="268"/>
      <c r="AI282" s="264"/>
      <c r="AJ282" s="264"/>
      <c r="AK282" s="264"/>
      <c r="AL282" s="264"/>
      <c r="AM282" s="264"/>
      <c r="AN282" s="264"/>
      <c r="AO282" s="264"/>
      <c r="AP282" s="264"/>
      <c r="AQ282" s="264"/>
      <c r="AR282" s="264"/>
      <c r="AS282" s="264"/>
      <c r="AT282" s="264"/>
      <c r="AU282" s="264"/>
      <c r="AV282" s="264"/>
      <c r="AW282" s="264"/>
      <c r="AX282" s="264"/>
      <c r="AY282" s="264"/>
      <c r="AZ282" s="264"/>
      <c r="BA282" s="264"/>
      <c r="BB282" s="270"/>
      <c r="BC282" s="270"/>
      <c r="BD282" s="270"/>
      <c r="BE282" s="270"/>
      <c r="BF282" s="264"/>
      <c r="BG282" s="264"/>
      <c r="BH282" s="265"/>
      <c r="BI282" s="265"/>
      <c r="BJ282" s="265"/>
      <c r="BK282" s="265"/>
      <c r="BL282" s="265"/>
      <c r="BM282" s="265"/>
      <c r="BN282" s="265"/>
      <c r="BO282" s="265"/>
      <c r="BP282" s="265"/>
      <c r="BQ282" s="265"/>
      <c r="BR282" s="9"/>
    </row>
    <row r="283" spans="4:70" x14ac:dyDescent="0.25">
      <c r="D283" s="9"/>
      <c r="E283" s="9"/>
      <c r="F283" s="9"/>
      <c r="G283" s="9"/>
      <c r="H283" s="265"/>
      <c r="I283" s="275"/>
      <c r="J283" s="265"/>
      <c r="K283" s="265"/>
      <c r="L283" s="265"/>
      <c r="M283" s="265"/>
      <c r="N283" s="265"/>
      <c r="O283" s="265"/>
      <c r="P283" s="265"/>
      <c r="Q283" s="264"/>
      <c r="R283" s="264"/>
      <c r="S283" s="264"/>
      <c r="T283" s="264"/>
      <c r="U283" s="268"/>
      <c r="V283" s="269"/>
      <c r="W283" s="268"/>
      <c r="X283" s="270"/>
      <c r="Y283" s="269"/>
      <c r="Z283" s="269"/>
      <c r="AA283" s="264"/>
      <c r="AB283" s="264"/>
      <c r="AC283" s="264"/>
      <c r="AD283" s="264"/>
      <c r="AE283" s="264"/>
      <c r="AF283" s="264"/>
      <c r="AG283" s="269"/>
      <c r="AH283" s="268"/>
      <c r="AI283" s="264"/>
      <c r="AJ283" s="264"/>
      <c r="AK283" s="264"/>
      <c r="AL283" s="264"/>
      <c r="AM283" s="264"/>
      <c r="AN283" s="264"/>
      <c r="AO283" s="264"/>
      <c r="AP283" s="264"/>
      <c r="AQ283" s="264"/>
      <c r="AR283" s="264"/>
      <c r="AS283" s="264"/>
      <c r="AT283" s="264"/>
      <c r="AU283" s="264"/>
      <c r="AV283" s="264"/>
      <c r="AW283" s="264"/>
      <c r="AX283" s="264"/>
      <c r="AY283" s="264"/>
      <c r="AZ283" s="264"/>
      <c r="BA283" s="264"/>
      <c r="BB283" s="270"/>
      <c r="BC283" s="270"/>
      <c r="BD283" s="270"/>
      <c r="BE283" s="270"/>
      <c r="BF283" s="264"/>
      <c r="BG283" s="264"/>
      <c r="BH283" s="265"/>
      <c r="BI283" s="265"/>
      <c r="BJ283" s="265"/>
      <c r="BK283" s="265"/>
      <c r="BL283" s="265"/>
      <c r="BM283" s="265"/>
      <c r="BN283" s="265"/>
      <c r="BO283" s="265"/>
      <c r="BP283" s="265"/>
      <c r="BQ283" s="265"/>
      <c r="BR283" s="9"/>
    </row>
    <row r="284" spans="4:70" x14ac:dyDescent="0.25">
      <c r="D284" s="9"/>
      <c r="E284" s="9"/>
      <c r="F284" s="9"/>
      <c r="G284" s="9"/>
      <c r="H284" s="265"/>
      <c r="I284" s="275"/>
      <c r="J284" s="265"/>
      <c r="K284" s="265"/>
      <c r="L284" s="265"/>
      <c r="M284" s="265"/>
      <c r="N284" s="265"/>
      <c r="O284" s="265"/>
      <c r="P284" s="265"/>
      <c r="Q284" s="264"/>
      <c r="R284" s="264"/>
      <c r="S284" s="264"/>
      <c r="T284" s="264"/>
      <c r="U284" s="268"/>
      <c r="V284" s="269"/>
      <c r="W284" s="268"/>
      <c r="X284" s="270"/>
      <c r="Y284" s="269"/>
      <c r="Z284" s="269"/>
      <c r="AA284" s="264"/>
      <c r="AB284" s="264"/>
      <c r="AC284" s="264"/>
      <c r="AD284" s="264"/>
      <c r="AE284" s="264"/>
      <c r="AF284" s="264"/>
      <c r="AG284" s="269"/>
      <c r="AH284" s="268"/>
      <c r="AI284" s="264"/>
      <c r="AJ284" s="264"/>
      <c r="AK284" s="264"/>
      <c r="AL284" s="264"/>
      <c r="AM284" s="264"/>
      <c r="AN284" s="264"/>
      <c r="AO284" s="264"/>
      <c r="AP284" s="264"/>
      <c r="AQ284" s="264"/>
      <c r="AR284" s="264"/>
      <c r="AS284" s="264"/>
      <c r="AT284" s="264"/>
      <c r="AU284" s="264"/>
      <c r="AV284" s="264"/>
      <c r="AW284" s="264"/>
      <c r="AX284" s="264"/>
      <c r="AY284" s="264"/>
      <c r="AZ284" s="264"/>
      <c r="BA284" s="264"/>
      <c r="BB284" s="270"/>
      <c r="BC284" s="270"/>
      <c r="BD284" s="270"/>
      <c r="BE284" s="270"/>
      <c r="BF284" s="264"/>
      <c r="BG284" s="264"/>
      <c r="BH284" s="265"/>
      <c r="BI284" s="265"/>
      <c r="BJ284" s="265"/>
      <c r="BK284" s="265"/>
      <c r="BL284" s="265"/>
      <c r="BM284" s="265"/>
      <c r="BN284" s="265"/>
      <c r="BO284" s="265"/>
      <c r="BP284" s="265"/>
      <c r="BQ284" s="265"/>
      <c r="BR284" s="9"/>
    </row>
    <row r="285" spans="4:70" x14ac:dyDescent="0.25">
      <c r="D285" s="9"/>
      <c r="E285" s="9"/>
      <c r="F285" s="9"/>
      <c r="G285" s="9"/>
      <c r="H285" s="265"/>
      <c r="I285" s="275"/>
      <c r="J285" s="265"/>
      <c r="K285" s="265"/>
      <c r="L285" s="265"/>
      <c r="M285" s="265"/>
      <c r="N285" s="265"/>
      <c r="O285" s="265"/>
      <c r="P285" s="265"/>
      <c r="Q285" s="264"/>
      <c r="R285" s="264"/>
      <c r="S285" s="264"/>
      <c r="T285" s="264"/>
      <c r="U285" s="268"/>
      <c r="V285" s="269"/>
      <c r="W285" s="268"/>
      <c r="X285" s="270"/>
      <c r="Y285" s="269"/>
      <c r="Z285" s="269"/>
      <c r="AA285" s="264"/>
      <c r="AB285" s="264"/>
      <c r="AC285" s="264"/>
      <c r="AD285" s="264"/>
      <c r="AE285" s="264"/>
      <c r="AF285" s="264"/>
      <c r="AG285" s="269"/>
      <c r="AH285" s="268"/>
      <c r="AI285" s="264"/>
      <c r="AJ285" s="264"/>
      <c r="AK285" s="264"/>
      <c r="AL285" s="264"/>
      <c r="AM285" s="264"/>
      <c r="AN285" s="264"/>
      <c r="AO285" s="264"/>
      <c r="AP285" s="264"/>
      <c r="AQ285" s="264"/>
      <c r="AR285" s="264"/>
      <c r="AS285" s="264"/>
      <c r="AT285" s="264"/>
      <c r="AU285" s="264"/>
      <c r="AV285" s="264"/>
      <c r="AW285" s="264"/>
      <c r="AX285" s="264"/>
      <c r="AY285" s="264"/>
      <c r="AZ285" s="264"/>
      <c r="BA285" s="264"/>
      <c r="BB285" s="270"/>
      <c r="BC285" s="270"/>
      <c r="BD285" s="270"/>
      <c r="BE285" s="270"/>
      <c r="BF285" s="264"/>
      <c r="BG285" s="264"/>
      <c r="BH285" s="265"/>
      <c r="BI285" s="265"/>
      <c r="BJ285" s="265"/>
      <c r="BK285" s="265"/>
      <c r="BL285" s="265"/>
      <c r="BM285" s="265"/>
      <c r="BN285" s="265"/>
      <c r="BO285" s="265"/>
      <c r="BP285" s="265"/>
      <c r="BQ285" s="265"/>
      <c r="BR285" s="9"/>
    </row>
    <row r="286" spans="4:70" x14ac:dyDescent="0.25">
      <c r="D286" s="9"/>
      <c r="E286" s="9"/>
      <c r="F286" s="9"/>
      <c r="G286" s="9"/>
      <c r="H286" s="265"/>
      <c r="I286" s="275"/>
      <c r="J286" s="265"/>
      <c r="K286" s="265"/>
      <c r="L286" s="265"/>
      <c r="M286" s="265"/>
      <c r="N286" s="265"/>
      <c r="O286" s="265"/>
      <c r="P286" s="265"/>
      <c r="Q286" s="264"/>
      <c r="R286" s="264"/>
      <c r="S286" s="264"/>
      <c r="T286" s="264"/>
      <c r="U286" s="268"/>
      <c r="V286" s="269"/>
      <c r="W286" s="268"/>
      <c r="X286" s="270"/>
      <c r="Y286" s="269"/>
      <c r="Z286" s="269"/>
      <c r="AA286" s="264"/>
      <c r="AB286" s="264"/>
      <c r="AC286" s="264"/>
      <c r="AD286" s="264"/>
      <c r="AE286" s="264"/>
      <c r="AF286" s="264"/>
      <c r="AG286" s="269"/>
      <c r="AH286" s="268"/>
      <c r="AI286" s="264"/>
      <c r="AJ286" s="264"/>
      <c r="AK286" s="264"/>
      <c r="AL286" s="264"/>
      <c r="AM286" s="264"/>
      <c r="AN286" s="264"/>
      <c r="AO286" s="264"/>
      <c r="AP286" s="264"/>
      <c r="AQ286" s="264"/>
      <c r="AR286" s="264"/>
      <c r="AS286" s="264"/>
      <c r="AT286" s="264"/>
      <c r="AU286" s="264"/>
      <c r="AV286" s="264"/>
      <c r="AW286" s="264"/>
      <c r="AX286" s="264"/>
      <c r="AY286" s="264"/>
      <c r="AZ286" s="264"/>
      <c r="BA286" s="264"/>
      <c r="BB286" s="270"/>
      <c r="BC286" s="270"/>
      <c r="BD286" s="270"/>
      <c r="BE286" s="270"/>
      <c r="BF286" s="264"/>
      <c r="BG286" s="264"/>
      <c r="BH286" s="265"/>
      <c r="BI286" s="265"/>
      <c r="BJ286" s="265"/>
      <c r="BK286" s="265"/>
      <c r="BL286" s="265"/>
      <c r="BM286" s="265"/>
      <c r="BN286" s="265"/>
      <c r="BO286" s="265"/>
      <c r="BP286" s="265"/>
      <c r="BQ286" s="265"/>
      <c r="BR286" s="9"/>
    </row>
    <row r="287" spans="4:70" x14ac:dyDescent="0.25">
      <c r="D287" s="9"/>
      <c r="E287" s="9"/>
      <c r="F287" s="9"/>
      <c r="G287" s="9"/>
      <c r="H287" s="265"/>
      <c r="I287" s="275"/>
      <c r="J287" s="265"/>
      <c r="K287" s="265"/>
      <c r="L287" s="265"/>
      <c r="M287" s="265"/>
      <c r="N287" s="265"/>
      <c r="O287" s="265"/>
      <c r="P287" s="265"/>
      <c r="Q287" s="264"/>
      <c r="R287" s="264"/>
      <c r="S287" s="264"/>
      <c r="T287" s="264"/>
      <c r="U287" s="268"/>
      <c r="V287" s="269"/>
      <c r="W287" s="268"/>
      <c r="X287" s="270"/>
      <c r="Y287" s="269"/>
      <c r="Z287" s="269"/>
      <c r="AA287" s="264"/>
      <c r="AB287" s="264"/>
      <c r="AC287" s="264"/>
      <c r="AD287" s="264"/>
      <c r="AE287" s="264"/>
      <c r="AF287" s="264"/>
      <c r="AG287" s="269"/>
      <c r="AH287" s="268"/>
      <c r="AI287" s="264"/>
      <c r="AJ287" s="264"/>
      <c r="AK287" s="264"/>
      <c r="AL287" s="264"/>
      <c r="AM287" s="264"/>
      <c r="AN287" s="264"/>
      <c r="AO287" s="264"/>
      <c r="AP287" s="264"/>
      <c r="AQ287" s="264"/>
      <c r="AR287" s="264"/>
      <c r="AS287" s="264"/>
      <c r="AT287" s="264"/>
      <c r="AU287" s="264"/>
      <c r="AV287" s="264"/>
      <c r="AW287" s="264"/>
      <c r="AX287" s="264"/>
      <c r="AY287" s="264"/>
      <c r="AZ287" s="264"/>
      <c r="BA287" s="264"/>
      <c r="BB287" s="270"/>
      <c r="BC287" s="270"/>
      <c r="BD287" s="270"/>
      <c r="BE287" s="270"/>
      <c r="BF287" s="264"/>
      <c r="BG287" s="264"/>
      <c r="BH287" s="265"/>
      <c r="BI287" s="265"/>
      <c r="BJ287" s="265"/>
      <c r="BK287" s="265"/>
      <c r="BL287" s="265"/>
      <c r="BM287" s="265"/>
      <c r="BN287" s="265"/>
      <c r="BO287" s="265"/>
      <c r="BP287" s="265"/>
      <c r="BQ287" s="265"/>
      <c r="BR287" s="9"/>
    </row>
    <row r="288" spans="4:70" x14ac:dyDescent="0.25">
      <c r="D288" s="9"/>
      <c r="E288" s="9"/>
      <c r="F288" s="9"/>
      <c r="G288" s="9"/>
      <c r="H288" s="265"/>
      <c r="I288" s="275"/>
      <c r="J288" s="265"/>
      <c r="K288" s="265"/>
      <c r="L288" s="265"/>
      <c r="M288" s="265"/>
      <c r="N288" s="265"/>
      <c r="O288" s="265"/>
      <c r="P288" s="265"/>
      <c r="Q288" s="264"/>
      <c r="R288" s="264"/>
      <c r="S288" s="264"/>
      <c r="T288" s="264"/>
      <c r="U288" s="268"/>
      <c r="V288" s="269"/>
      <c r="W288" s="268"/>
      <c r="X288" s="270"/>
      <c r="Y288" s="269"/>
      <c r="Z288" s="269"/>
      <c r="AA288" s="264"/>
      <c r="AB288" s="264"/>
      <c r="AC288" s="264"/>
      <c r="AD288" s="264"/>
      <c r="AE288" s="264"/>
      <c r="AF288" s="264"/>
      <c r="AG288" s="269"/>
      <c r="AH288" s="268"/>
      <c r="AI288" s="264"/>
      <c r="AJ288" s="264"/>
      <c r="AK288" s="264"/>
      <c r="AL288" s="264"/>
      <c r="AM288" s="264"/>
      <c r="AN288" s="264"/>
      <c r="AO288" s="264"/>
      <c r="AP288" s="264"/>
      <c r="AQ288" s="264"/>
      <c r="AR288" s="264"/>
      <c r="AS288" s="264"/>
      <c r="AT288" s="264"/>
      <c r="AU288" s="264"/>
      <c r="AV288" s="264"/>
      <c r="AW288" s="264"/>
      <c r="AX288" s="264"/>
      <c r="AY288" s="264"/>
      <c r="AZ288" s="264"/>
      <c r="BA288" s="264"/>
      <c r="BB288" s="270"/>
      <c r="BC288" s="270"/>
      <c r="BD288" s="270"/>
      <c r="BE288" s="270"/>
      <c r="BF288" s="264"/>
      <c r="BG288" s="264"/>
      <c r="BH288" s="265"/>
      <c r="BI288" s="265"/>
      <c r="BJ288" s="265"/>
      <c r="BK288" s="265"/>
      <c r="BL288" s="265"/>
      <c r="BM288" s="265"/>
      <c r="BN288" s="265"/>
      <c r="BO288" s="265"/>
      <c r="BP288" s="265"/>
      <c r="BQ288" s="265"/>
      <c r="BR288" s="9"/>
    </row>
    <row r="289" spans="4:71" x14ac:dyDescent="0.25">
      <c r="D289" s="9"/>
      <c r="E289" s="9"/>
      <c r="F289" s="9"/>
      <c r="G289" s="9"/>
      <c r="H289" s="265"/>
      <c r="I289" s="275"/>
      <c r="J289" s="265"/>
      <c r="K289" s="265"/>
      <c r="L289" s="265"/>
      <c r="M289" s="265"/>
      <c r="N289" s="265"/>
      <c r="O289" s="265"/>
      <c r="P289" s="265"/>
      <c r="Q289" s="264"/>
      <c r="R289" s="264"/>
      <c r="S289" s="264"/>
      <c r="T289" s="264"/>
      <c r="U289" s="268"/>
      <c r="V289" s="269"/>
      <c r="W289" s="268"/>
      <c r="X289" s="270"/>
      <c r="Y289" s="269"/>
      <c r="Z289" s="269"/>
      <c r="AA289" s="264"/>
      <c r="AB289" s="264"/>
      <c r="AC289" s="264"/>
      <c r="AD289" s="264"/>
      <c r="AE289" s="264"/>
      <c r="AF289" s="264"/>
      <c r="AG289" s="269"/>
      <c r="AH289" s="268"/>
      <c r="AI289" s="264"/>
      <c r="AJ289" s="264"/>
      <c r="AK289" s="264"/>
      <c r="AL289" s="264"/>
      <c r="AM289" s="264"/>
      <c r="AN289" s="264"/>
      <c r="AO289" s="264"/>
      <c r="AP289" s="264"/>
      <c r="AQ289" s="264"/>
      <c r="AR289" s="264"/>
      <c r="AS289" s="264"/>
      <c r="AT289" s="264"/>
      <c r="AU289" s="264"/>
      <c r="AV289" s="264"/>
      <c r="AW289" s="264"/>
      <c r="AX289" s="264"/>
      <c r="AY289" s="264"/>
      <c r="AZ289" s="264"/>
      <c r="BA289" s="264"/>
      <c r="BB289" s="270"/>
      <c r="BC289" s="270"/>
      <c r="BD289" s="270"/>
      <c r="BE289" s="270"/>
      <c r="BF289" s="264"/>
      <c r="BG289" s="264"/>
      <c r="BH289" s="265"/>
      <c r="BI289" s="265"/>
      <c r="BJ289" s="265"/>
      <c r="BK289" s="265"/>
      <c r="BL289" s="265"/>
      <c r="BM289" s="265"/>
      <c r="BN289" s="265"/>
      <c r="BO289" s="265"/>
      <c r="BP289" s="265"/>
      <c r="BQ289" s="265"/>
      <c r="BR289" s="9"/>
    </row>
    <row r="290" spans="4:71" x14ac:dyDescent="0.25">
      <c r="D290" s="9"/>
      <c r="E290" s="9"/>
      <c r="F290" s="9"/>
      <c r="G290" s="9"/>
      <c r="H290" s="265"/>
      <c r="I290" s="275"/>
      <c r="J290" s="265"/>
      <c r="K290" s="265"/>
      <c r="L290" s="265"/>
      <c r="M290" s="265"/>
      <c r="N290" s="265"/>
      <c r="O290" s="265"/>
      <c r="P290" s="265"/>
      <c r="Q290" s="264"/>
      <c r="R290" s="264"/>
      <c r="S290" s="264"/>
      <c r="T290" s="264"/>
      <c r="U290" s="268"/>
      <c r="V290" s="269"/>
      <c r="W290" s="268"/>
      <c r="X290" s="270"/>
      <c r="Y290" s="269"/>
      <c r="Z290" s="269"/>
      <c r="AA290" s="264"/>
      <c r="AB290" s="264"/>
      <c r="AC290" s="264"/>
      <c r="AD290" s="264"/>
      <c r="AE290" s="264"/>
      <c r="AF290" s="264"/>
      <c r="AG290" s="269"/>
      <c r="AH290" s="268"/>
      <c r="AI290" s="264"/>
      <c r="AJ290" s="264"/>
      <c r="AK290" s="264"/>
      <c r="AL290" s="264"/>
      <c r="AM290" s="264"/>
      <c r="AN290" s="264"/>
      <c r="AO290" s="264"/>
      <c r="AP290" s="264"/>
      <c r="AQ290" s="264"/>
      <c r="AR290" s="264"/>
      <c r="AS290" s="264"/>
      <c r="AT290" s="264"/>
      <c r="AU290" s="264"/>
      <c r="AV290" s="264"/>
      <c r="AW290" s="264"/>
      <c r="AX290" s="264"/>
      <c r="AY290" s="264"/>
      <c r="AZ290" s="264"/>
      <c r="BA290" s="264"/>
      <c r="BB290" s="270"/>
      <c r="BC290" s="270"/>
      <c r="BD290" s="270"/>
      <c r="BE290" s="270"/>
      <c r="BF290" s="264"/>
      <c r="BG290" s="264"/>
      <c r="BH290" s="265"/>
      <c r="BI290" s="265"/>
      <c r="BJ290" s="265"/>
      <c r="BK290" s="265"/>
      <c r="BL290" s="265"/>
      <c r="BM290" s="265"/>
      <c r="BN290" s="265"/>
      <c r="BO290" s="265"/>
      <c r="BP290" s="265"/>
      <c r="BQ290" s="265"/>
      <c r="BR290" s="9"/>
    </row>
    <row r="291" spans="4:71" x14ac:dyDescent="0.25">
      <c r="D291" s="9"/>
      <c r="E291" s="9"/>
      <c r="F291" s="9"/>
      <c r="G291" s="9"/>
      <c r="H291" s="265"/>
      <c r="I291" s="275"/>
      <c r="J291" s="265"/>
      <c r="K291" s="265"/>
      <c r="L291" s="265"/>
      <c r="M291" s="265"/>
      <c r="N291" s="265"/>
      <c r="O291" s="265"/>
      <c r="P291" s="265"/>
      <c r="Q291" s="264"/>
      <c r="R291" s="264"/>
      <c r="S291" s="264"/>
      <c r="T291" s="264"/>
      <c r="U291" s="268"/>
      <c r="V291" s="269"/>
      <c r="W291" s="268"/>
      <c r="X291" s="270"/>
      <c r="Y291" s="269"/>
      <c r="Z291" s="269"/>
      <c r="AA291" s="264"/>
      <c r="AB291" s="264"/>
      <c r="AC291" s="264"/>
      <c r="AD291" s="264"/>
      <c r="AE291" s="264"/>
      <c r="AF291" s="264"/>
      <c r="AG291" s="269"/>
      <c r="AH291" s="268"/>
      <c r="AI291" s="264"/>
      <c r="AJ291" s="264"/>
      <c r="AK291" s="264"/>
      <c r="AL291" s="264"/>
      <c r="AM291" s="264"/>
      <c r="AN291" s="264"/>
      <c r="AO291" s="264"/>
      <c r="AP291" s="264"/>
      <c r="AQ291" s="264"/>
      <c r="AR291" s="264"/>
      <c r="AS291" s="264"/>
      <c r="AT291" s="264"/>
      <c r="AU291" s="264"/>
      <c r="AV291" s="264"/>
      <c r="AW291" s="264"/>
      <c r="AX291" s="264"/>
      <c r="AY291" s="264"/>
      <c r="AZ291" s="264"/>
      <c r="BA291" s="264"/>
      <c r="BB291" s="270"/>
      <c r="BC291" s="270"/>
      <c r="BD291" s="270"/>
      <c r="BE291" s="270"/>
      <c r="BF291" s="264"/>
      <c r="BG291" s="264"/>
      <c r="BH291" s="265"/>
      <c r="BI291" s="265"/>
      <c r="BJ291" s="265"/>
      <c r="BK291" s="265"/>
      <c r="BL291" s="265"/>
      <c r="BM291" s="265"/>
      <c r="BN291" s="265"/>
      <c r="BO291" s="265"/>
      <c r="BP291" s="265"/>
      <c r="BQ291" s="265"/>
      <c r="BR291" s="9"/>
    </row>
    <row r="292" spans="4:71" x14ac:dyDescent="0.25">
      <c r="D292" s="9"/>
      <c r="E292" s="9"/>
      <c r="F292" s="9"/>
      <c r="G292" s="9"/>
      <c r="H292" s="265"/>
      <c r="I292" s="275"/>
      <c r="J292" s="265"/>
      <c r="K292" s="265"/>
      <c r="L292" s="265"/>
      <c r="M292" s="265"/>
      <c r="N292" s="265"/>
      <c r="O292" s="265"/>
      <c r="P292" s="265"/>
      <c r="Q292" s="264"/>
      <c r="R292" s="264"/>
      <c r="S292" s="264"/>
      <c r="T292" s="264"/>
      <c r="U292" s="268"/>
      <c r="V292" s="269"/>
      <c r="W292" s="268"/>
      <c r="X292" s="270"/>
      <c r="Y292" s="269"/>
      <c r="Z292" s="269"/>
      <c r="AA292" s="264"/>
      <c r="AB292" s="264"/>
      <c r="AC292" s="264"/>
      <c r="AD292" s="264"/>
      <c r="AE292" s="264"/>
      <c r="AF292" s="264"/>
      <c r="AG292" s="269"/>
      <c r="AH292" s="268"/>
      <c r="AI292" s="264"/>
      <c r="AJ292" s="264"/>
      <c r="AK292" s="264"/>
      <c r="AL292" s="264"/>
      <c r="AM292" s="264"/>
      <c r="AN292" s="264"/>
      <c r="AO292" s="264"/>
      <c r="AP292" s="264"/>
      <c r="AQ292" s="264"/>
      <c r="AR292" s="264"/>
      <c r="AS292" s="264"/>
      <c r="AT292" s="264"/>
      <c r="AU292" s="264"/>
      <c r="AV292" s="264"/>
      <c r="AW292" s="264"/>
      <c r="AX292" s="264"/>
      <c r="AY292" s="264"/>
      <c r="AZ292" s="264"/>
      <c r="BA292" s="264"/>
      <c r="BB292" s="270"/>
      <c r="BC292" s="270"/>
      <c r="BD292" s="270"/>
      <c r="BE292" s="270"/>
      <c r="BF292" s="264"/>
      <c r="BG292" s="264"/>
      <c r="BH292" s="265"/>
      <c r="BI292" s="265"/>
      <c r="BJ292" s="265"/>
      <c r="BK292" s="265"/>
      <c r="BL292" s="265"/>
      <c r="BM292" s="265"/>
      <c r="BN292" s="265"/>
      <c r="BO292" s="265"/>
      <c r="BP292" s="265"/>
      <c r="BQ292" s="265"/>
      <c r="BR292" s="9"/>
    </row>
    <row r="293" spans="4:71" x14ac:dyDescent="0.25">
      <c r="D293" s="9"/>
      <c r="E293" s="9"/>
      <c r="F293" s="9"/>
      <c r="G293" s="9"/>
      <c r="H293" s="265"/>
      <c r="I293" s="275"/>
      <c r="J293" s="265"/>
      <c r="K293" s="265"/>
      <c r="L293" s="265"/>
      <c r="M293" s="265"/>
      <c r="N293" s="265"/>
      <c r="O293" s="265"/>
      <c r="P293" s="265"/>
      <c r="Q293" s="264"/>
      <c r="R293" s="264"/>
      <c r="S293" s="264"/>
      <c r="T293" s="264"/>
      <c r="U293" s="268"/>
      <c r="V293" s="269"/>
      <c r="W293" s="268"/>
      <c r="X293" s="270"/>
      <c r="Y293" s="269"/>
      <c r="Z293" s="269"/>
      <c r="AA293" s="264"/>
      <c r="AB293" s="264"/>
      <c r="AC293" s="264"/>
      <c r="AD293" s="264"/>
      <c r="AE293" s="264"/>
      <c r="AF293" s="264"/>
      <c r="AG293" s="269"/>
      <c r="AH293" s="268"/>
      <c r="AI293" s="264"/>
      <c r="AJ293" s="264"/>
      <c r="AK293" s="264"/>
      <c r="AL293" s="264"/>
      <c r="AM293" s="264"/>
      <c r="AN293" s="264"/>
      <c r="AO293" s="264"/>
      <c r="AP293" s="264"/>
      <c r="AQ293" s="264"/>
      <c r="AR293" s="264"/>
      <c r="AS293" s="264"/>
      <c r="AT293" s="264"/>
      <c r="AU293" s="264"/>
      <c r="AV293" s="264"/>
      <c r="AW293" s="264"/>
      <c r="AX293" s="264"/>
      <c r="AY293" s="264"/>
      <c r="AZ293" s="264"/>
      <c r="BA293" s="264"/>
      <c r="BB293" s="270"/>
      <c r="BC293" s="270"/>
      <c r="BD293" s="270"/>
      <c r="BE293" s="270"/>
      <c r="BF293" s="264"/>
      <c r="BG293" s="264"/>
      <c r="BH293" s="265"/>
      <c r="BI293" s="265"/>
      <c r="BJ293" s="265"/>
      <c r="BK293" s="265"/>
      <c r="BL293" s="265"/>
      <c r="BM293" s="265"/>
      <c r="BN293" s="265"/>
      <c r="BO293" s="265"/>
      <c r="BP293" s="265"/>
      <c r="BQ293" s="265"/>
      <c r="BR293" s="9"/>
    </row>
    <row r="294" spans="4:71" x14ac:dyDescent="0.25">
      <c r="D294" s="9"/>
      <c r="E294" s="9"/>
      <c r="F294" s="9"/>
      <c r="G294" s="9"/>
      <c r="H294" s="265"/>
      <c r="I294" s="275"/>
      <c r="J294" s="265"/>
      <c r="K294" s="265"/>
      <c r="L294" s="265"/>
      <c r="M294" s="265"/>
      <c r="N294" s="265"/>
      <c r="O294" s="265"/>
      <c r="P294" s="265"/>
      <c r="Q294" s="264"/>
      <c r="R294" s="264"/>
      <c r="S294" s="264"/>
      <c r="T294" s="264"/>
      <c r="U294" s="268"/>
      <c r="V294" s="269"/>
      <c r="W294" s="268"/>
      <c r="X294" s="270"/>
      <c r="Y294" s="269"/>
      <c r="Z294" s="269"/>
      <c r="AA294" s="264"/>
      <c r="AB294" s="264"/>
      <c r="AC294" s="264"/>
      <c r="AD294" s="264"/>
      <c r="AE294" s="264"/>
      <c r="AF294" s="264"/>
      <c r="AG294" s="269"/>
      <c r="AH294" s="268"/>
      <c r="AI294" s="264"/>
      <c r="AJ294" s="264"/>
      <c r="AK294" s="264"/>
      <c r="AL294" s="264"/>
      <c r="AM294" s="264"/>
      <c r="AN294" s="264"/>
      <c r="AO294" s="264"/>
      <c r="AP294" s="264"/>
      <c r="AQ294" s="264"/>
      <c r="AR294" s="264"/>
      <c r="AS294" s="264"/>
      <c r="AT294" s="264"/>
      <c r="AU294" s="264"/>
      <c r="AV294" s="264"/>
      <c r="AW294" s="264"/>
      <c r="AX294" s="264"/>
      <c r="AY294" s="264"/>
      <c r="AZ294" s="264"/>
      <c r="BA294" s="264"/>
      <c r="BB294" s="270"/>
      <c r="BC294" s="270"/>
      <c r="BD294" s="270"/>
      <c r="BE294" s="270"/>
      <c r="BF294" s="264"/>
      <c r="BG294" s="264"/>
      <c r="BH294" s="265"/>
      <c r="BI294" s="265"/>
      <c r="BJ294" s="265"/>
      <c r="BK294" s="265"/>
      <c r="BL294" s="265"/>
      <c r="BM294" s="265"/>
      <c r="BN294" s="265"/>
      <c r="BO294" s="265"/>
      <c r="BP294" s="265"/>
      <c r="BQ294" s="265"/>
      <c r="BR294" s="9"/>
    </row>
    <row r="295" spans="4:71" x14ac:dyDescent="0.25">
      <c r="D295" s="9"/>
      <c r="E295" s="9"/>
      <c r="F295" s="9"/>
      <c r="G295" s="9"/>
      <c r="H295" s="265"/>
      <c r="I295" s="275"/>
      <c r="J295" s="265"/>
      <c r="K295" s="265"/>
      <c r="L295" s="265"/>
      <c r="M295" s="265"/>
      <c r="N295" s="265"/>
      <c r="O295" s="265"/>
      <c r="P295" s="265"/>
      <c r="Q295" s="264"/>
      <c r="R295" s="264"/>
      <c r="S295" s="264"/>
      <c r="T295" s="264"/>
      <c r="U295" s="268"/>
      <c r="V295" s="269"/>
      <c r="W295" s="268"/>
      <c r="X295" s="270"/>
      <c r="Y295" s="269"/>
      <c r="Z295" s="269"/>
      <c r="AA295" s="264"/>
      <c r="AB295" s="264"/>
      <c r="AC295" s="264"/>
      <c r="AD295" s="264"/>
      <c r="AE295" s="264"/>
      <c r="AF295" s="264"/>
      <c r="AG295" s="269"/>
      <c r="AH295" s="268"/>
      <c r="AI295" s="264"/>
      <c r="AJ295" s="264"/>
      <c r="AK295" s="264"/>
      <c r="AL295" s="264"/>
      <c r="AM295" s="264"/>
      <c r="AN295" s="264"/>
      <c r="AO295" s="264"/>
      <c r="AP295" s="264"/>
      <c r="AQ295" s="264"/>
      <c r="AR295" s="264"/>
      <c r="AS295" s="264"/>
      <c r="AT295" s="264"/>
      <c r="AU295" s="264"/>
      <c r="AV295" s="264"/>
      <c r="AW295" s="264"/>
      <c r="AX295" s="264"/>
      <c r="AY295" s="264"/>
      <c r="AZ295" s="264"/>
      <c r="BA295" s="264"/>
      <c r="BB295" s="270"/>
      <c r="BC295" s="270"/>
      <c r="BD295" s="270"/>
      <c r="BE295" s="270"/>
      <c r="BF295" s="264"/>
      <c r="BG295" s="264"/>
      <c r="BH295" s="265"/>
      <c r="BI295" s="265"/>
      <c r="BJ295" s="265"/>
      <c r="BK295" s="265"/>
      <c r="BL295" s="265"/>
      <c r="BM295" s="265"/>
      <c r="BN295" s="265"/>
      <c r="BO295" s="265"/>
      <c r="BP295" s="265"/>
      <c r="BQ295" s="265"/>
      <c r="BR295" s="9"/>
    </row>
    <row r="296" spans="4:71" x14ac:dyDescent="0.25">
      <c r="D296" s="9"/>
      <c r="E296" s="9"/>
      <c r="F296" s="9"/>
      <c r="G296" s="9"/>
      <c r="H296" s="265"/>
      <c r="I296" s="275"/>
      <c r="J296" s="265"/>
      <c r="K296" s="265"/>
      <c r="L296" s="265"/>
      <c r="M296" s="265"/>
      <c r="N296" s="265"/>
      <c r="O296" s="265"/>
      <c r="P296" s="265"/>
      <c r="Q296" s="264"/>
      <c r="R296" s="264"/>
      <c r="S296" s="264"/>
      <c r="T296" s="264"/>
      <c r="U296" s="268"/>
      <c r="V296" s="269"/>
      <c r="W296" s="268"/>
      <c r="X296" s="270"/>
      <c r="Y296" s="269"/>
      <c r="Z296" s="269"/>
      <c r="AA296" s="264"/>
      <c r="AB296" s="264"/>
      <c r="AC296" s="264"/>
      <c r="AD296" s="264"/>
      <c r="AE296" s="264"/>
      <c r="AF296" s="264"/>
      <c r="AG296" s="269"/>
      <c r="AH296" s="268"/>
      <c r="AI296" s="264"/>
      <c r="AJ296" s="264"/>
      <c r="AK296" s="264"/>
      <c r="AL296" s="264"/>
      <c r="AM296" s="264"/>
      <c r="AN296" s="264"/>
      <c r="AO296" s="264"/>
      <c r="AP296" s="264"/>
      <c r="AQ296" s="264"/>
      <c r="AR296" s="264"/>
      <c r="AS296" s="264"/>
      <c r="AT296" s="264"/>
      <c r="AU296" s="264"/>
      <c r="AV296" s="264"/>
      <c r="AW296" s="264"/>
      <c r="AX296" s="264"/>
      <c r="AY296" s="264"/>
      <c r="AZ296" s="264"/>
      <c r="BA296" s="264"/>
      <c r="BB296" s="270"/>
      <c r="BC296" s="270"/>
      <c r="BD296" s="270"/>
      <c r="BE296" s="270"/>
      <c r="BF296" s="264"/>
      <c r="BG296" s="264"/>
      <c r="BH296" s="265"/>
      <c r="BI296" s="265"/>
      <c r="BJ296" s="265"/>
      <c r="BK296" s="265"/>
      <c r="BL296" s="265"/>
      <c r="BM296" s="265"/>
      <c r="BN296" s="265"/>
      <c r="BO296" s="265"/>
      <c r="BP296" s="265"/>
      <c r="BQ296" s="265"/>
      <c r="BR296" s="9"/>
    </row>
    <row r="297" spans="4:71" x14ac:dyDescent="0.25">
      <c r="D297" s="9"/>
      <c r="E297" s="9"/>
      <c r="F297" s="9"/>
      <c r="G297" s="9"/>
      <c r="H297" s="265"/>
      <c r="I297" s="275"/>
      <c r="J297" s="265"/>
      <c r="K297" s="265"/>
      <c r="L297" s="265"/>
      <c r="M297" s="265"/>
      <c r="N297" s="265"/>
      <c r="O297" s="265"/>
      <c r="P297" s="265"/>
      <c r="Q297" s="264"/>
      <c r="R297" s="264"/>
      <c r="S297" s="264"/>
      <c r="T297" s="264"/>
      <c r="U297" s="268"/>
      <c r="V297" s="269"/>
      <c r="W297" s="268"/>
      <c r="X297" s="270"/>
      <c r="Y297" s="269"/>
      <c r="Z297" s="269"/>
      <c r="AA297" s="264"/>
      <c r="AB297" s="264"/>
      <c r="AC297" s="264"/>
      <c r="AD297" s="264"/>
      <c r="AE297" s="264"/>
      <c r="AF297" s="264"/>
      <c r="AG297" s="269"/>
      <c r="AH297" s="268"/>
      <c r="AI297" s="264"/>
      <c r="AJ297" s="264"/>
      <c r="AK297" s="264"/>
      <c r="AL297" s="264"/>
      <c r="AM297" s="264"/>
      <c r="AN297" s="264"/>
      <c r="AO297" s="264"/>
      <c r="AP297" s="264"/>
      <c r="AQ297" s="264"/>
      <c r="AR297" s="264"/>
      <c r="AS297" s="264"/>
      <c r="AT297" s="264"/>
      <c r="AU297" s="264"/>
      <c r="AV297" s="264"/>
      <c r="AW297" s="264"/>
      <c r="AX297" s="264"/>
      <c r="AY297" s="264"/>
      <c r="AZ297" s="264"/>
      <c r="BA297" s="264"/>
      <c r="BB297" s="270"/>
      <c r="BC297" s="270"/>
      <c r="BD297" s="270"/>
      <c r="BE297" s="270"/>
      <c r="BF297" s="264"/>
      <c r="BG297" s="264"/>
      <c r="BH297" s="265"/>
      <c r="BI297" s="265"/>
      <c r="BJ297" s="265"/>
      <c r="BK297" s="265"/>
      <c r="BL297" s="265"/>
      <c r="BM297" s="265"/>
      <c r="BN297" s="265"/>
      <c r="BO297" s="265"/>
      <c r="BP297" s="265"/>
      <c r="BQ297" s="265"/>
      <c r="BR297" s="9"/>
    </row>
    <row r="298" spans="4:71" x14ac:dyDescent="0.25">
      <c r="D298" s="9"/>
      <c r="E298" s="9"/>
      <c r="F298" s="9"/>
      <c r="G298" s="9"/>
      <c r="H298" s="265"/>
      <c r="I298" s="275"/>
      <c r="J298" s="265"/>
      <c r="K298" s="265"/>
      <c r="L298" s="265"/>
      <c r="M298" s="265"/>
      <c r="N298" s="265"/>
      <c r="O298" s="265"/>
      <c r="P298" s="265"/>
      <c r="Q298" s="264"/>
      <c r="R298" s="264"/>
      <c r="S298" s="264"/>
      <c r="T298" s="264"/>
      <c r="U298" s="268"/>
      <c r="V298" s="269"/>
      <c r="W298" s="268"/>
      <c r="X298" s="270"/>
      <c r="Y298" s="269"/>
      <c r="Z298" s="269"/>
      <c r="AA298" s="264"/>
      <c r="AB298" s="264"/>
      <c r="AC298" s="264"/>
      <c r="AD298" s="264"/>
      <c r="AE298" s="264"/>
      <c r="AF298" s="264"/>
      <c r="AG298" s="269"/>
      <c r="AH298" s="268"/>
      <c r="AI298" s="264"/>
      <c r="AJ298" s="264"/>
      <c r="AK298" s="264"/>
      <c r="AL298" s="264"/>
      <c r="AM298" s="264"/>
      <c r="AN298" s="264"/>
      <c r="AO298" s="264"/>
      <c r="AP298" s="264"/>
      <c r="AQ298" s="264"/>
      <c r="AR298" s="264"/>
      <c r="AS298" s="264"/>
      <c r="AT298" s="264"/>
      <c r="AU298" s="264"/>
      <c r="AV298" s="264"/>
      <c r="AW298" s="264"/>
      <c r="AX298" s="264"/>
      <c r="AY298" s="264"/>
      <c r="AZ298" s="264"/>
      <c r="BA298" s="264"/>
      <c r="BB298" s="270"/>
      <c r="BC298" s="270"/>
      <c r="BD298" s="270"/>
      <c r="BE298" s="270"/>
      <c r="BF298" s="264"/>
      <c r="BG298" s="264"/>
      <c r="BH298" s="265"/>
      <c r="BI298" s="265"/>
      <c r="BJ298" s="265"/>
      <c r="BK298" s="265"/>
      <c r="BL298" s="265"/>
      <c r="BM298" s="265"/>
      <c r="BN298" s="265"/>
      <c r="BO298" s="265"/>
      <c r="BP298" s="265"/>
      <c r="BQ298" s="265"/>
      <c r="BR298" s="9"/>
    </row>
    <row r="299" spans="4:71" x14ac:dyDescent="0.25"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  <c r="BS299" s="13"/>
    </row>
    <row r="300" spans="4:71" x14ac:dyDescent="0.25"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  <c r="BS300" s="13"/>
    </row>
    <row r="301" spans="4:71" x14ac:dyDescent="0.25"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  <c r="BS301" s="13"/>
    </row>
    <row r="302" spans="4:71" x14ac:dyDescent="0.25"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  <c r="BS302" s="13"/>
    </row>
    <row r="303" spans="4:71" x14ac:dyDescent="0.25"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  <c r="BS303" s="13"/>
    </row>
    <row r="304" spans="4:71" x14ac:dyDescent="0.25"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  <c r="BS304" s="13"/>
    </row>
    <row r="305" spans="9:71" x14ac:dyDescent="0.25"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  <c r="BS305" s="13"/>
    </row>
    <row r="306" spans="9:71" x14ac:dyDescent="0.25">
      <c r="I306" s="9"/>
      <c r="J306" s="9"/>
      <c r="K306" s="9"/>
      <c r="L306" s="9"/>
      <c r="M306" s="276"/>
      <c r="N306" s="276"/>
      <c r="O306" s="276"/>
      <c r="P306" s="276"/>
      <c r="Q306" s="276"/>
      <c r="R306" s="276"/>
      <c r="S306" s="276"/>
      <c r="T306" s="276"/>
      <c r="U306" s="276"/>
      <c r="V306" s="276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  <c r="BS306" s="13"/>
    </row>
    <row r="307" spans="9:71" x14ac:dyDescent="0.25"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272"/>
      <c r="X307" s="272"/>
      <c r="Y307" s="453"/>
      <c r="Z307" s="453"/>
      <c r="AA307" s="453"/>
      <c r="AB307" s="453"/>
      <c r="AC307" s="453"/>
      <c r="AD307" s="453"/>
      <c r="AE307" s="453"/>
      <c r="AF307" s="453"/>
      <c r="AG307" s="453"/>
      <c r="AH307" s="453"/>
      <c r="AI307" s="453"/>
      <c r="AJ307" s="453"/>
      <c r="AK307" s="453"/>
      <c r="AL307" s="453"/>
      <c r="AM307" s="453"/>
      <c r="AN307" s="453"/>
      <c r="AO307" s="453"/>
      <c r="AP307" s="453"/>
      <c r="AQ307" s="453"/>
      <c r="AR307" s="453"/>
      <c r="AS307" s="453"/>
      <c r="AT307" s="453"/>
      <c r="AU307" s="453"/>
      <c r="AV307" s="453"/>
      <c r="AW307" s="453"/>
      <c r="AX307" s="453"/>
      <c r="AY307" s="453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  <c r="BS307" s="13"/>
    </row>
    <row r="308" spans="9:71" x14ac:dyDescent="0.25"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274"/>
      <c r="X308" s="274"/>
      <c r="Y308" s="272"/>
      <c r="Z308" s="272"/>
      <c r="AA308" s="272"/>
      <c r="AB308" s="272"/>
      <c r="AC308" s="272"/>
      <c r="AD308" s="272"/>
      <c r="AE308" s="272"/>
      <c r="AF308" s="272"/>
      <c r="AG308" s="272"/>
      <c r="AH308" s="272"/>
      <c r="AI308" s="272"/>
      <c r="AJ308" s="272"/>
      <c r="AK308" s="272"/>
      <c r="AL308" s="272"/>
      <c r="AM308" s="272"/>
      <c r="AN308" s="272"/>
      <c r="AO308" s="272"/>
      <c r="AP308" s="272"/>
      <c r="AQ308" s="272"/>
      <c r="AR308" s="272"/>
      <c r="AS308" s="272"/>
      <c r="AT308" s="272"/>
      <c r="AU308" s="272"/>
      <c r="AV308" s="272"/>
      <c r="AW308" s="272"/>
      <c r="AX308" s="272"/>
      <c r="AY308" s="272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  <c r="BS308" s="13"/>
    </row>
    <row r="309" spans="9:71" x14ac:dyDescent="0.25"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262"/>
      <c r="X309" s="262"/>
      <c r="Y309" s="262"/>
      <c r="Z309" s="262"/>
      <c r="AA309" s="262"/>
      <c r="AB309" s="262"/>
      <c r="AC309" s="262"/>
      <c r="AD309" s="262"/>
      <c r="AE309" s="262"/>
      <c r="AF309" s="262"/>
      <c r="AG309" s="262"/>
      <c r="AH309" s="262"/>
      <c r="AI309" s="262"/>
      <c r="AJ309" s="262"/>
      <c r="AK309" s="262"/>
      <c r="AL309" s="262"/>
      <c r="AM309" s="262"/>
      <c r="AN309" s="262"/>
      <c r="AO309" s="262"/>
      <c r="AP309" s="262"/>
      <c r="AQ309" s="262"/>
      <c r="AR309" s="262"/>
      <c r="AS309" s="262"/>
      <c r="AT309" s="262"/>
      <c r="AU309" s="262"/>
      <c r="AV309" s="262"/>
      <c r="AW309" s="262"/>
      <c r="AX309" s="262"/>
      <c r="AY309" s="262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  <c r="BS309" s="13"/>
    </row>
    <row r="310" spans="9:71" x14ac:dyDescent="0.25"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262"/>
      <c r="X310" s="262"/>
      <c r="Y310" s="262"/>
      <c r="Z310" s="262"/>
      <c r="AA310" s="262"/>
      <c r="AB310" s="262"/>
      <c r="AC310" s="262"/>
      <c r="AD310" s="262"/>
      <c r="AE310" s="262"/>
      <c r="AF310" s="262"/>
      <c r="AG310" s="262"/>
      <c r="AH310" s="262"/>
      <c r="AI310" s="262"/>
      <c r="AJ310" s="262"/>
      <c r="AK310" s="262"/>
      <c r="AL310" s="262"/>
      <c r="AM310" s="262"/>
      <c r="AN310" s="262"/>
      <c r="AO310" s="262"/>
      <c r="AP310" s="262"/>
      <c r="AQ310" s="262"/>
      <c r="AR310" s="262"/>
      <c r="AS310" s="262"/>
      <c r="AT310" s="273"/>
      <c r="AU310" s="273"/>
      <c r="AV310" s="273"/>
      <c r="AW310" s="273"/>
      <c r="AX310" s="262"/>
      <c r="AY310" s="262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  <c r="BS310" s="13"/>
    </row>
    <row r="311" spans="9:71" x14ac:dyDescent="0.25"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262"/>
      <c r="X311" s="262"/>
      <c r="Y311" s="262"/>
      <c r="Z311" s="262"/>
      <c r="AA311" s="262"/>
      <c r="AB311" s="262"/>
      <c r="AC311" s="262"/>
      <c r="AD311" s="262"/>
      <c r="AE311" s="262"/>
      <c r="AF311" s="262"/>
      <c r="AG311" s="262"/>
      <c r="AH311" s="262"/>
      <c r="AI311" s="262"/>
      <c r="AJ311" s="262"/>
      <c r="AK311" s="262"/>
      <c r="AL311" s="262"/>
      <c r="AM311" s="262"/>
      <c r="AN311" s="262"/>
      <c r="AO311" s="262"/>
      <c r="AP311" s="262"/>
      <c r="AQ311" s="262"/>
      <c r="AR311" s="262"/>
      <c r="AS311" s="262"/>
      <c r="AT311" s="273"/>
      <c r="AU311" s="273"/>
      <c r="AV311" s="273"/>
      <c r="AW311" s="273"/>
      <c r="AX311" s="262"/>
      <c r="AY311" s="262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  <c r="BS311" s="13"/>
    </row>
    <row r="312" spans="9:71" x14ac:dyDescent="0.25"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262"/>
      <c r="X312" s="262"/>
      <c r="Y312" s="262"/>
      <c r="Z312" s="262"/>
      <c r="AA312" s="262"/>
      <c r="AB312" s="262"/>
      <c r="AC312" s="262"/>
      <c r="AD312" s="262"/>
      <c r="AE312" s="262"/>
      <c r="AF312" s="262"/>
      <c r="AG312" s="262"/>
      <c r="AH312" s="262"/>
      <c r="AI312" s="262"/>
      <c r="AJ312" s="262"/>
      <c r="AK312" s="262"/>
      <c r="AL312" s="262"/>
      <c r="AM312" s="262"/>
      <c r="AN312" s="262"/>
      <c r="AO312" s="262"/>
      <c r="AP312" s="262"/>
      <c r="AQ312" s="262"/>
      <c r="AR312" s="262"/>
      <c r="AS312" s="262"/>
      <c r="AT312" s="273"/>
      <c r="AU312" s="273"/>
      <c r="AV312" s="273"/>
      <c r="AW312" s="273"/>
      <c r="AX312" s="262"/>
      <c r="AY312" s="262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  <c r="BS312" s="13"/>
    </row>
    <row r="313" spans="9:71" x14ac:dyDescent="0.25"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262"/>
      <c r="X313" s="262"/>
      <c r="Y313" s="262"/>
      <c r="Z313" s="262"/>
      <c r="AA313" s="262"/>
      <c r="AB313" s="262"/>
      <c r="AC313" s="262"/>
      <c r="AD313" s="262"/>
      <c r="AE313" s="262"/>
      <c r="AF313" s="262"/>
      <c r="AG313" s="262"/>
      <c r="AH313" s="262"/>
      <c r="AI313" s="262"/>
      <c r="AJ313" s="262"/>
      <c r="AK313" s="262"/>
      <c r="AL313" s="262"/>
      <c r="AM313" s="262"/>
      <c r="AN313" s="262"/>
      <c r="AO313" s="262"/>
      <c r="AP313" s="262"/>
      <c r="AQ313" s="262"/>
      <c r="AR313" s="262"/>
      <c r="AS313" s="262"/>
      <c r="AT313" s="273"/>
      <c r="AU313" s="273"/>
      <c r="AV313" s="273"/>
      <c r="AW313" s="273"/>
      <c r="AX313" s="262"/>
      <c r="AY313" s="262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  <c r="BS313" s="13"/>
    </row>
    <row r="314" spans="9:71" x14ac:dyDescent="0.25"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262"/>
      <c r="X314" s="262"/>
      <c r="Y314" s="262"/>
      <c r="Z314" s="262"/>
      <c r="AA314" s="262"/>
      <c r="AB314" s="262"/>
      <c r="AC314" s="262"/>
      <c r="AD314" s="262"/>
      <c r="AE314" s="262"/>
      <c r="AF314" s="262"/>
      <c r="AG314" s="262"/>
      <c r="AH314" s="262"/>
      <c r="AI314" s="262"/>
      <c r="AJ314" s="262"/>
      <c r="AK314" s="262"/>
      <c r="AL314" s="262"/>
      <c r="AM314" s="262"/>
      <c r="AN314" s="262"/>
      <c r="AO314" s="262"/>
      <c r="AP314" s="262"/>
      <c r="AQ314" s="262"/>
      <c r="AR314" s="262"/>
      <c r="AS314" s="262"/>
      <c r="AT314" s="273"/>
      <c r="AU314" s="273"/>
      <c r="AV314" s="273"/>
      <c r="AW314" s="273"/>
      <c r="AX314" s="262"/>
      <c r="AY314" s="262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  <c r="BS314" s="13"/>
    </row>
    <row r="315" spans="9:71" x14ac:dyDescent="0.25"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262"/>
      <c r="X315" s="262"/>
      <c r="Y315" s="262"/>
      <c r="Z315" s="262"/>
      <c r="AA315" s="262"/>
      <c r="AB315" s="262"/>
      <c r="AC315" s="262"/>
      <c r="AD315" s="262"/>
      <c r="AE315" s="262"/>
      <c r="AF315" s="262"/>
      <c r="AG315" s="262"/>
      <c r="AH315" s="262"/>
      <c r="AI315" s="262"/>
      <c r="AJ315" s="262"/>
      <c r="AK315" s="262"/>
      <c r="AL315" s="262"/>
      <c r="AM315" s="262"/>
      <c r="AN315" s="262"/>
      <c r="AO315" s="262"/>
      <c r="AP315" s="262"/>
      <c r="AQ315" s="262"/>
      <c r="AR315" s="262"/>
      <c r="AS315" s="262"/>
      <c r="AT315" s="273"/>
      <c r="AU315" s="273"/>
      <c r="AV315" s="273"/>
      <c r="AW315" s="273"/>
      <c r="AX315" s="262"/>
      <c r="AY315" s="262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  <c r="BS315" s="13"/>
    </row>
    <row r="316" spans="9:71" x14ac:dyDescent="0.25"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262"/>
      <c r="X316" s="262"/>
      <c r="Y316" s="262"/>
      <c r="Z316" s="262"/>
      <c r="AA316" s="262"/>
      <c r="AB316" s="262"/>
      <c r="AC316" s="262"/>
      <c r="AD316" s="262"/>
      <c r="AE316" s="262"/>
      <c r="AF316" s="262"/>
      <c r="AG316" s="262"/>
      <c r="AH316" s="262"/>
      <c r="AI316" s="262"/>
      <c r="AJ316" s="262"/>
      <c r="AK316" s="262"/>
      <c r="AL316" s="262"/>
      <c r="AM316" s="262"/>
      <c r="AN316" s="262"/>
      <c r="AO316" s="262"/>
      <c r="AP316" s="262"/>
      <c r="AQ316" s="262"/>
      <c r="AR316" s="262"/>
      <c r="AS316" s="262"/>
      <c r="AT316" s="273"/>
      <c r="AU316" s="273"/>
      <c r="AV316" s="273"/>
      <c r="AW316" s="273"/>
      <c r="AX316" s="262"/>
      <c r="AY316" s="262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  <c r="BS316" s="13"/>
    </row>
    <row r="317" spans="9:71" x14ac:dyDescent="0.25"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262"/>
      <c r="X317" s="262"/>
      <c r="Y317" s="262"/>
      <c r="Z317" s="262"/>
      <c r="AA317" s="262"/>
      <c r="AB317" s="262"/>
      <c r="AC317" s="262"/>
      <c r="AD317" s="262"/>
      <c r="AE317" s="262"/>
      <c r="AF317" s="262"/>
      <c r="AG317" s="262"/>
      <c r="AH317" s="262"/>
      <c r="AI317" s="262"/>
      <c r="AJ317" s="262"/>
      <c r="AK317" s="262"/>
      <c r="AL317" s="262"/>
      <c r="AM317" s="262"/>
      <c r="AN317" s="262"/>
      <c r="AO317" s="262"/>
      <c r="AP317" s="262"/>
      <c r="AQ317" s="262"/>
      <c r="AR317" s="262"/>
      <c r="AS317" s="262"/>
      <c r="AT317" s="273"/>
      <c r="AU317" s="273"/>
      <c r="AV317" s="273"/>
      <c r="AW317" s="273"/>
      <c r="AX317" s="262"/>
      <c r="AY317" s="262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  <c r="BS317" s="13"/>
    </row>
    <row r="318" spans="9:71" x14ac:dyDescent="0.25"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262"/>
      <c r="X318" s="262"/>
      <c r="Y318" s="262"/>
      <c r="Z318" s="262"/>
      <c r="AA318" s="262"/>
      <c r="AB318" s="262"/>
      <c r="AC318" s="262"/>
      <c r="AD318" s="262"/>
      <c r="AE318" s="262"/>
      <c r="AF318" s="262"/>
      <c r="AG318" s="262"/>
      <c r="AH318" s="262"/>
      <c r="AI318" s="262"/>
      <c r="AJ318" s="262"/>
      <c r="AK318" s="262"/>
      <c r="AL318" s="262"/>
      <c r="AM318" s="262"/>
      <c r="AN318" s="262"/>
      <c r="AO318" s="262"/>
      <c r="AP318" s="262"/>
      <c r="AQ318" s="262"/>
      <c r="AR318" s="262"/>
      <c r="AS318" s="262"/>
      <c r="AT318" s="273"/>
      <c r="AU318" s="273"/>
      <c r="AV318" s="273"/>
      <c r="AW318" s="273"/>
      <c r="AX318" s="262"/>
      <c r="AY318" s="262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  <c r="BS318" s="13"/>
    </row>
    <row r="319" spans="9:71" x14ac:dyDescent="0.25"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262"/>
      <c r="X319" s="262"/>
      <c r="Y319" s="262"/>
      <c r="Z319" s="262"/>
      <c r="AA319" s="262"/>
      <c r="AB319" s="262"/>
      <c r="AC319" s="262"/>
      <c r="AD319" s="262"/>
      <c r="AE319" s="262"/>
      <c r="AF319" s="262"/>
      <c r="AG319" s="262"/>
      <c r="AH319" s="262"/>
      <c r="AI319" s="262"/>
      <c r="AJ319" s="262"/>
      <c r="AK319" s="262"/>
      <c r="AL319" s="262"/>
      <c r="AM319" s="262"/>
      <c r="AN319" s="262"/>
      <c r="AO319" s="262"/>
      <c r="AP319" s="262"/>
      <c r="AQ319" s="262"/>
      <c r="AR319" s="262"/>
      <c r="AS319" s="262"/>
      <c r="AT319" s="273"/>
      <c r="AU319" s="273"/>
      <c r="AV319" s="273"/>
      <c r="AW319" s="273"/>
      <c r="AX319" s="262"/>
      <c r="AY319" s="262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  <c r="BS319" s="13"/>
    </row>
    <row r="320" spans="9:71" x14ac:dyDescent="0.25"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262"/>
      <c r="X320" s="262"/>
      <c r="Y320" s="262"/>
      <c r="Z320" s="262"/>
      <c r="AA320" s="262"/>
      <c r="AB320" s="262"/>
      <c r="AC320" s="262"/>
      <c r="AD320" s="262"/>
      <c r="AE320" s="262"/>
      <c r="AF320" s="262"/>
      <c r="AG320" s="262"/>
      <c r="AH320" s="262"/>
      <c r="AI320" s="262"/>
      <c r="AJ320" s="262"/>
      <c r="AK320" s="262"/>
      <c r="AL320" s="262"/>
      <c r="AM320" s="262"/>
      <c r="AN320" s="262"/>
      <c r="AO320" s="262"/>
      <c r="AP320" s="262"/>
      <c r="AQ320" s="262"/>
      <c r="AR320" s="262"/>
      <c r="AS320" s="262"/>
      <c r="AT320" s="273"/>
      <c r="AU320" s="273"/>
      <c r="AV320" s="273"/>
      <c r="AW320" s="273"/>
      <c r="AX320" s="262"/>
      <c r="AY320" s="262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  <c r="BS320" s="13"/>
    </row>
    <row r="321" spans="9:71" x14ac:dyDescent="0.25"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262"/>
      <c r="X321" s="262"/>
      <c r="Y321" s="262"/>
      <c r="Z321" s="262"/>
      <c r="AA321" s="262"/>
      <c r="AB321" s="262"/>
      <c r="AC321" s="262"/>
      <c r="AD321" s="262"/>
      <c r="AE321" s="262"/>
      <c r="AF321" s="262"/>
      <c r="AG321" s="262"/>
      <c r="AH321" s="262"/>
      <c r="AI321" s="262"/>
      <c r="AJ321" s="262"/>
      <c r="AK321" s="262"/>
      <c r="AL321" s="262"/>
      <c r="AM321" s="262"/>
      <c r="AN321" s="262"/>
      <c r="AO321" s="262"/>
      <c r="AP321" s="262"/>
      <c r="AQ321" s="262"/>
      <c r="AR321" s="262"/>
      <c r="AS321" s="262"/>
      <c r="AT321" s="273"/>
      <c r="AU321" s="273"/>
      <c r="AV321" s="273"/>
      <c r="AW321" s="273"/>
      <c r="AX321" s="262"/>
      <c r="AY321" s="262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  <c r="BS321" s="13"/>
    </row>
    <row r="322" spans="9:71" x14ac:dyDescent="0.25"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262"/>
      <c r="X322" s="262"/>
      <c r="Y322" s="262"/>
      <c r="Z322" s="262"/>
      <c r="AA322" s="262"/>
      <c r="AB322" s="262"/>
      <c r="AC322" s="262"/>
      <c r="AD322" s="262"/>
      <c r="AE322" s="262"/>
      <c r="AF322" s="262"/>
      <c r="AG322" s="262"/>
      <c r="AH322" s="262"/>
      <c r="AI322" s="262"/>
      <c r="AJ322" s="262"/>
      <c r="AK322" s="262"/>
      <c r="AL322" s="262"/>
      <c r="AM322" s="262"/>
      <c r="AN322" s="262"/>
      <c r="AO322" s="262"/>
      <c r="AP322" s="262"/>
      <c r="AQ322" s="262"/>
      <c r="AR322" s="262"/>
      <c r="AS322" s="262"/>
      <c r="AT322" s="273"/>
      <c r="AU322" s="273"/>
      <c r="AV322" s="273"/>
      <c r="AW322" s="273"/>
      <c r="AX322" s="262"/>
      <c r="AY322" s="262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  <c r="BS322" s="13"/>
    </row>
    <row r="323" spans="9:71" x14ac:dyDescent="0.25"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262"/>
      <c r="X323" s="262"/>
      <c r="Y323" s="262"/>
      <c r="Z323" s="262"/>
      <c r="AA323" s="262"/>
      <c r="AB323" s="262"/>
      <c r="AC323" s="262"/>
      <c r="AD323" s="262"/>
      <c r="AE323" s="262"/>
      <c r="AF323" s="262"/>
      <c r="AG323" s="262"/>
      <c r="AH323" s="262"/>
      <c r="AI323" s="262"/>
      <c r="AJ323" s="262"/>
      <c r="AK323" s="262"/>
      <c r="AL323" s="262"/>
      <c r="AM323" s="262"/>
      <c r="AN323" s="262"/>
      <c r="AO323" s="262"/>
      <c r="AP323" s="262"/>
      <c r="AQ323" s="262"/>
      <c r="AR323" s="262"/>
      <c r="AS323" s="262"/>
      <c r="AT323" s="273"/>
      <c r="AU323" s="273"/>
      <c r="AV323" s="273"/>
      <c r="AW323" s="273"/>
      <c r="AX323" s="262"/>
      <c r="AY323" s="262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  <c r="BS323" s="13"/>
    </row>
    <row r="324" spans="9:71" x14ac:dyDescent="0.25"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262"/>
      <c r="X324" s="262"/>
      <c r="Y324" s="262"/>
      <c r="Z324" s="262"/>
      <c r="AA324" s="262"/>
      <c r="AB324" s="262"/>
      <c r="AC324" s="262"/>
      <c r="AD324" s="262"/>
      <c r="AE324" s="262"/>
      <c r="AF324" s="262"/>
      <c r="AG324" s="262"/>
      <c r="AH324" s="262"/>
      <c r="AI324" s="262"/>
      <c r="AJ324" s="262"/>
      <c r="AK324" s="262"/>
      <c r="AL324" s="262"/>
      <c r="AM324" s="262"/>
      <c r="AN324" s="262"/>
      <c r="AO324" s="262"/>
      <c r="AP324" s="262"/>
      <c r="AQ324" s="262"/>
      <c r="AR324" s="262"/>
      <c r="AS324" s="262"/>
      <c r="AT324" s="273"/>
      <c r="AU324" s="273"/>
      <c r="AV324" s="273"/>
      <c r="AW324" s="273"/>
      <c r="AX324" s="262"/>
      <c r="AY324" s="262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  <c r="BS324" s="13"/>
    </row>
    <row r="325" spans="9:71" x14ac:dyDescent="0.25"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262"/>
      <c r="X325" s="262"/>
      <c r="Y325" s="262"/>
      <c r="Z325" s="262"/>
      <c r="AA325" s="262"/>
      <c r="AB325" s="262"/>
      <c r="AC325" s="262"/>
      <c r="AD325" s="262"/>
      <c r="AE325" s="262"/>
      <c r="AF325" s="262"/>
      <c r="AG325" s="262"/>
      <c r="AH325" s="262"/>
      <c r="AI325" s="262"/>
      <c r="AJ325" s="262"/>
      <c r="AK325" s="262"/>
      <c r="AL325" s="262"/>
      <c r="AM325" s="262"/>
      <c r="AN325" s="262"/>
      <c r="AO325" s="262"/>
      <c r="AP325" s="262"/>
      <c r="AQ325" s="262"/>
      <c r="AR325" s="262"/>
      <c r="AS325" s="262"/>
      <c r="AT325" s="273"/>
      <c r="AU325" s="273"/>
      <c r="AV325" s="273"/>
      <c r="AW325" s="273"/>
      <c r="AX325" s="262"/>
      <c r="AY325" s="262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  <c r="BS325" s="13"/>
    </row>
    <row r="326" spans="9:71" x14ac:dyDescent="0.25"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262"/>
      <c r="X326" s="262"/>
      <c r="Y326" s="262"/>
      <c r="Z326" s="262"/>
      <c r="AA326" s="262"/>
      <c r="AB326" s="262"/>
      <c r="AC326" s="262"/>
      <c r="AD326" s="262"/>
      <c r="AE326" s="262"/>
      <c r="AF326" s="262"/>
      <c r="AG326" s="262"/>
      <c r="AH326" s="262"/>
      <c r="AI326" s="262"/>
      <c r="AJ326" s="262"/>
      <c r="AK326" s="262"/>
      <c r="AL326" s="262"/>
      <c r="AM326" s="262"/>
      <c r="AN326" s="262"/>
      <c r="AO326" s="262"/>
      <c r="AP326" s="262"/>
      <c r="AQ326" s="262"/>
      <c r="AR326" s="262"/>
      <c r="AS326" s="262"/>
      <c r="AT326" s="273"/>
      <c r="AU326" s="273"/>
      <c r="AV326" s="273"/>
      <c r="AW326" s="273"/>
      <c r="AX326" s="262"/>
      <c r="AY326" s="262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  <c r="BS326" s="13"/>
    </row>
    <row r="327" spans="9:71" x14ac:dyDescent="0.25"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262"/>
      <c r="X327" s="262"/>
      <c r="Y327" s="262"/>
      <c r="Z327" s="262"/>
      <c r="AA327" s="262"/>
      <c r="AB327" s="262"/>
      <c r="AC327" s="262"/>
      <c r="AD327" s="262"/>
      <c r="AE327" s="262"/>
      <c r="AF327" s="262"/>
      <c r="AG327" s="262"/>
      <c r="AH327" s="262"/>
      <c r="AI327" s="262"/>
      <c r="AJ327" s="262"/>
      <c r="AK327" s="262"/>
      <c r="AL327" s="262"/>
      <c r="AM327" s="262"/>
      <c r="AN327" s="262"/>
      <c r="AO327" s="262"/>
      <c r="AP327" s="262"/>
      <c r="AQ327" s="262"/>
      <c r="AR327" s="262"/>
      <c r="AS327" s="262"/>
      <c r="AT327" s="273"/>
      <c r="AU327" s="273"/>
      <c r="AV327" s="273"/>
      <c r="AW327" s="273"/>
      <c r="AX327" s="262"/>
      <c r="AY327" s="262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  <c r="BS327" s="13"/>
    </row>
    <row r="328" spans="9:71" x14ac:dyDescent="0.25"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262"/>
      <c r="X328" s="262"/>
      <c r="Y328" s="262"/>
      <c r="Z328" s="262"/>
      <c r="AA328" s="262"/>
      <c r="AB328" s="262"/>
      <c r="AC328" s="262"/>
      <c r="AD328" s="262"/>
      <c r="AE328" s="262"/>
      <c r="AF328" s="262"/>
      <c r="AG328" s="262"/>
      <c r="AH328" s="262"/>
      <c r="AI328" s="262"/>
      <c r="AJ328" s="262"/>
      <c r="AK328" s="262"/>
      <c r="AL328" s="262"/>
      <c r="AM328" s="262"/>
      <c r="AN328" s="262"/>
      <c r="AO328" s="262"/>
      <c r="AP328" s="262"/>
      <c r="AQ328" s="262"/>
      <c r="AR328" s="262"/>
      <c r="AS328" s="262"/>
      <c r="AT328" s="273"/>
      <c r="AU328" s="273"/>
      <c r="AV328" s="273"/>
      <c r="AW328" s="273"/>
      <c r="AX328" s="262"/>
      <c r="AY328" s="262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  <c r="BS328" s="13"/>
    </row>
    <row r="329" spans="9:71" x14ac:dyDescent="0.25"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262"/>
      <c r="X329" s="262"/>
      <c r="Y329" s="262"/>
      <c r="Z329" s="262"/>
      <c r="AA329" s="262"/>
      <c r="AB329" s="262"/>
      <c r="AC329" s="262"/>
      <c r="AD329" s="262"/>
      <c r="AE329" s="262"/>
      <c r="AF329" s="262"/>
      <c r="AG329" s="262"/>
      <c r="AH329" s="262"/>
      <c r="AI329" s="262"/>
      <c r="AJ329" s="262"/>
      <c r="AK329" s="262"/>
      <c r="AL329" s="262"/>
      <c r="AM329" s="262"/>
      <c r="AN329" s="262"/>
      <c r="AO329" s="262"/>
      <c r="AP329" s="262"/>
      <c r="AQ329" s="262"/>
      <c r="AR329" s="262"/>
      <c r="AS329" s="262"/>
      <c r="AT329" s="273"/>
      <c r="AU329" s="273"/>
      <c r="AV329" s="273"/>
      <c r="AW329" s="273"/>
      <c r="AX329" s="262"/>
      <c r="AY329" s="262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  <c r="BS329" s="13"/>
    </row>
    <row r="330" spans="9:71" x14ac:dyDescent="0.25"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262"/>
      <c r="X330" s="262"/>
      <c r="Y330" s="262"/>
      <c r="Z330" s="262"/>
      <c r="AA330" s="262"/>
      <c r="AB330" s="262"/>
      <c r="AC330" s="262"/>
      <c r="AD330" s="262"/>
      <c r="AE330" s="262"/>
      <c r="AF330" s="262"/>
      <c r="AG330" s="262"/>
      <c r="AH330" s="262"/>
      <c r="AI330" s="262"/>
      <c r="AJ330" s="262"/>
      <c r="AK330" s="262"/>
      <c r="AL330" s="262"/>
      <c r="AM330" s="262"/>
      <c r="AN330" s="262"/>
      <c r="AO330" s="262"/>
      <c r="AP330" s="262"/>
      <c r="AQ330" s="262"/>
      <c r="AR330" s="262"/>
      <c r="AS330" s="262"/>
      <c r="AT330" s="273"/>
      <c r="AU330" s="273"/>
      <c r="AV330" s="273"/>
      <c r="AW330" s="273"/>
      <c r="AX330" s="262"/>
      <c r="AY330" s="262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  <c r="BS330" s="13"/>
    </row>
    <row r="331" spans="9:71" x14ac:dyDescent="0.25"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262"/>
      <c r="X331" s="262"/>
      <c r="Y331" s="262"/>
      <c r="Z331" s="262"/>
      <c r="AA331" s="262"/>
      <c r="AB331" s="262"/>
      <c r="AC331" s="262"/>
      <c r="AD331" s="262"/>
      <c r="AE331" s="262"/>
      <c r="AF331" s="262"/>
      <c r="AG331" s="262"/>
      <c r="AH331" s="262"/>
      <c r="AI331" s="262"/>
      <c r="AJ331" s="262"/>
      <c r="AK331" s="262"/>
      <c r="AL331" s="262"/>
      <c r="AM331" s="262"/>
      <c r="AN331" s="262"/>
      <c r="AO331" s="262"/>
      <c r="AP331" s="262"/>
      <c r="AQ331" s="262"/>
      <c r="AR331" s="262"/>
      <c r="AS331" s="262"/>
      <c r="AT331" s="273"/>
      <c r="AU331" s="273"/>
      <c r="AV331" s="273"/>
      <c r="AW331" s="273"/>
      <c r="AX331" s="262"/>
      <c r="AY331" s="262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  <c r="BS331" s="13"/>
    </row>
    <row r="332" spans="9:71" x14ac:dyDescent="0.25"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262"/>
      <c r="X332" s="262"/>
      <c r="Y332" s="262"/>
      <c r="Z332" s="262"/>
      <c r="AA332" s="262"/>
      <c r="AB332" s="262"/>
      <c r="AC332" s="262"/>
      <c r="AD332" s="262"/>
      <c r="AE332" s="262"/>
      <c r="AF332" s="262"/>
      <c r="AG332" s="262"/>
      <c r="AH332" s="262"/>
      <c r="AI332" s="262"/>
      <c r="AJ332" s="262"/>
      <c r="AK332" s="262"/>
      <c r="AL332" s="262"/>
      <c r="AM332" s="262"/>
      <c r="AN332" s="262"/>
      <c r="AO332" s="262"/>
      <c r="AP332" s="262"/>
      <c r="AQ332" s="262"/>
      <c r="AR332" s="262"/>
      <c r="AS332" s="262"/>
      <c r="AT332" s="273"/>
      <c r="AU332" s="273"/>
      <c r="AV332" s="273"/>
      <c r="AW332" s="273"/>
      <c r="AX332" s="262"/>
      <c r="AY332" s="262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  <c r="BS332" s="13"/>
    </row>
    <row r="333" spans="9:71" x14ac:dyDescent="0.25"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262"/>
      <c r="X333" s="262"/>
      <c r="Y333" s="262"/>
      <c r="Z333" s="262"/>
      <c r="AA333" s="262"/>
      <c r="AB333" s="262"/>
      <c r="AC333" s="262"/>
      <c r="AD333" s="262"/>
      <c r="AE333" s="262"/>
      <c r="AF333" s="262"/>
      <c r="AG333" s="262"/>
      <c r="AH333" s="262"/>
      <c r="AI333" s="262"/>
      <c r="AJ333" s="262"/>
      <c r="AK333" s="262"/>
      <c r="AL333" s="262"/>
      <c r="AM333" s="262"/>
      <c r="AN333" s="262"/>
      <c r="AO333" s="262"/>
      <c r="AP333" s="262"/>
      <c r="AQ333" s="262"/>
      <c r="AR333" s="262"/>
      <c r="AS333" s="262"/>
      <c r="AT333" s="273"/>
      <c r="AU333" s="273"/>
      <c r="AV333" s="273"/>
      <c r="AW333" s="273"/>
      <c r="AX333" s="262"/>
      <c r="AY333" s="262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  <c r="BS333" s="13"/>
    </row>
    <row r="334" spans="9:71" x14ac:dyDescent="0.25"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262"/>
      <c r="X334" s="262"/>
      <c r="Y334" s="262"/>
      <c r="Z334" s="262"/>
      <c r="AA334" s="262"/>
      <c r="AB334" s="262"/>
      <c r="AC334" s="262"/>
      <c r="AD334" s="262"/>
      <c r="AE334" s="262"/>
      <c r="AF334" s="262"/>
      <c r="AG334" s="262"/>
      <c r="AH334" s="262"/>
      <c r="AI334" s="262"/>
      <c r="AJ334" s="262"/>
      <c r="AK334" s="262"/>
      <c r="AL334" s="262"/>
      <c r="AM334" s="262"/>
      <c r="AN334" s="262"/>
      <c r="AO334" s="262"/>
      <c r="AP334" s="262"/>
      <c r="AQ334" s="262"/>
      <c r="AR334" s="262"/>
      <c r="AS334" s="262"/>
      <c r="AT334" s="273"/>
      <c r="AU334" s="273"/>
      <c r="AV334" s="273"/>
      <c r="AW334" s="273"/>
      <c r="AX334" s="262"/>
      <c r="AY334" s="262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  <c r="BS334" s="13"/>
    </row>
    <row r="335" spans="9:71" x14ac:dyDescent="0.25"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262"/>
      <c r="X335" s="262"/>
      <c r="Y335" s="262"/>
      <c r="Z335" s="262"/>
      <c r="AA335" s="262"/>
      <c r="AB335" s="262"/>
      <c r="AC335" s="262"/>
      <c r="AD335" s="262"/>
      <c r="AE335" s="262"/>
      <c r="AF335" s="262"/>
      <c r="AG335" s="262"/>
      <c r="AH335" s="262"/>
      <c r="AI335" s="262"/>
      <c r="AJ335" s="262"/>
      <c r="AK335" s="262"/>
      <c r="AL335" s="262"/>
      <c r="AM335" s="262"/>
      <c r="AN335" s="262"/>
      <c r="AO335" s="262"/>
      <c r="AP335" s="262"/>
      <c r="AQ335" s="262"/>
      <c r="AR335" s="262"/>
      <c r="AS335" s="262"/>
      <c r="AT335" s="273"/>
      <c r="AU335" s="273"/>
      <c r="AV335" s="273"/>
      <c r="AW335" s="273"/>
      <c r="AX335" s="262"/>
      <c r="AY335" s="262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  <c r="BS335" s="13"/>
    </row>
    <row r="336" spans="9:71" x14ac:dyDescent="0.25"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262"/>
      <c r="X336" s="262"/>
      <c r="Y336" s="262"/>
      <c r="Z336" s="262"/>
      <c r="AA336" s="262"/>
      <c r="AB336" s="262"/>
      <c r="AC336" s="262"/>
      <c r="AD336" s="262"/>
      <c r="AE336" s="262"/>
      <c r="AF336" s="262"/>
      <c r="AG336" s="262"/>
      <c r="AH336" s="262"/>
      <c r="AI336" s="262"/>
      <c r="AJ336" s="262"/>
      <c r="AK336" s="262"/>
      <c r="AL336" s="262"/>
      <c r="AM336" s="262"/>
      <c r="AN336" s="262"/>
      <c r="AO336" s="262"/>
      <c r="AP336" s="262"/>
      <c r="AQ336" s="262"/>
      <c r="AR336" s="262"/>
      <c r="AS336" s="262"/>
      <c r="AT336" s="273"/>
      <c r="AU336" s="273"/>
      <c r="AV336" s="273"/>
      <c r="AW336" s="273"/>
      <c r="AX336" s="262"/>
      <c r="AY336" s="262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  <c r="BS336" s="13"/>
    </row>
    <row r="337" spans="9:71" x14ac:dyDescent="0.25"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262"/>
      <c r="X337" s="262"/>
      <c r="Y337" s="262"/>
      <c r="Z337" s="262"/>
      <c r="AA337" s="262"/>
      <c r="AB337" s="262"/>
      <c r="AC337" s="262"/>
      <c r="AD337" s="262"/>
      <c r="AE337" s="262"/>
      <c r="AF337" s="262"/>
      <c r="AG337" s="262"/>
      <c r="AH337" s="262"/>
      <c r="AI337" s="262"/>
      <c r="AJ337" s="262"/>
      <c r="AK337" s="262"/>
      <c r="AL337" s="262"/>
      <c r="AM337" s="262"/>
      <c r="AN337" s="262"/>
      <c r="AO337" s="262"/>
      <c r="AP337" s="262"/>
      <c r="AQ337" s="262"/>
      <c r="AR337" s="262"/>
      <c r="AS337" s="262"/>
      <c r="AT337" s="273"/>
      <c r="AU337" s="273"/>
      <c r="AV337" s="273"/>
      <c r="AW337" s="273"/>
      <c r="AX337" s="262"/>
      <c r="AY337" s="262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  <c r="BS337" s="13"/>
    </row>
    <row r="338" spans="9:71" x14ac:dyDescent="0.25"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262"/>
      <c r="X338" s="262"/>
      <c r="Y338" s="262"/>
      <c r="Z338" s="262"/>
      <c r="AA338" s="262"/>
      <c r="AB338" s="262"/>
      <c r="AC338" s="262"/>
      <c r="AD338" s="262"/>
      <c r="AE338" s="262"/>
      <c r="AF338" s="262"/>
      <c r="AG338" s="262"/>
      <c r="AH338" s="262"/>
      <c r="AI338" s="262"/>
      <c r="AJ338" s="262"/>
      <c r="AK338" s="262"/>
      <c r="AL338" s="262"/>
      <c r="AM338" s="262"/>
      <c r="AN338" s="262"/>
      <c r="AO338" s="262"/>
      <c r="AP338" s="262"/>
      <c r="AQ338" s="262"/>
      <c r="AR338" s="262"/>
      <c r="AS338" s="262"/>
      <c r="AT338" s="273"/>
      <c r="AU338" s="273"/>
      <c r="AV338" s="273"/>
      <c r="AW338" s="273"/>
      <c r="AX338" s="262"/>
      <c r="AY338" s="262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  <c r="BS338" s="13"/>
    </row>
    <row r="339" spans="9:71" x14ac:dyDescent="0.25"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  <c r="BS339" s="13"/>
    </row>
    <row r="340" spans="9:71" x14ac:dyDescent="0.25"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  <c r="BS340" s="13"/>
    </row>
    <row r="341" spans="9:71" x14ac:dyDescent="0.25"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  <c r="BS341" s="13"/>
    </row>
    <row r="342" spans="9:71" x14ac:dyDescent="0.25"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  <c r="BS342" s="13"/>
    </row>
    <row r="343" spans="9:71" x14ac:dyDescent="0.25"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  <c r="BS343" s="13"/>
    </row>
    <row r="344" spans="9:71" x14ac:dyDescent="0.25"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  <c r="BS344" s="13"/>
    </row>
    <row r="345" spans="9:71" x14ac:dyDescent="0.25"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  <c r="BS345" s="13"/>
    </row>
    <row r="346" spans="9:71" x14ac:dyDescent="0.25"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  <c r="BS346" s="13"/>
    </row>
    <row r="347" spans="9:71" x14ac:dyDescent="0.25"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  <c r="BS347" s="13"/>
    </row>
    <row r="348" spans="9:71" x14ac:dyDescent="0.25"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  <c r="BS348" s="13"/>
    </row>
    <row r="349" spans="9:71" x14ac:dyDescent="0.25"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  <c r="BS349" s="13"/>
    </row>
    <row r="350" spans="9:71" x14ac:dyDescent="0.25"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  <c r="BS350" s="13"/>
    </row>
    <row r="351" spans="9:71" x14ac:dyDescent="0.25"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  <c r="BS351" s="13"/>
    </row>
    <row r="352" spans="9:71" x14ac:dyDescent="0.25"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  <c r="BS352" s="13"/>
    </row>
    <row r="353" spans="23:71" x14ac:dyDescent="0.25"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  <c r="BS353" s="13"/>
    </row>
    <row r="354" spans="23:71" x14ac:dyDescent="0.25"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</row>
    <row r="355" spans="23:71" x14ac:dyDescent="0.25"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</row>
    <row r="356" spans="23:71" x14ac:dyDescent="0.25"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</row>
    <row r="357" spans="23:71" x14ac:dyDescent="0.25"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</row>
    <row r="358" spans="23:71" x14ac:dyDescent="0.25"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</row>
    <row r="359" spans="23:71" x14ac:dyDescent="0.25"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</row>
    <row r="360" spans="23:71" x14ac:dyDescent="0.25"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</row>
    <row r="361" spans="23:71" x14ac:dyDescent="0.25"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</row>
    <row r="362" spans="23:71" x14ac:dyDescent="0.25"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</row>
    <row r="363" spans="23:71" x14ac:dyDescent="0.25"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</row>
    <row r="364" spans="23:71" x14ac:dyDescent="0.25"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</row>
    <row r="365" spans="23:71" x14ac:dyDescent="0.25"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</row>
    <row r="366" spans="23:71" x14ac:dyDescent="0.25"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</row>
    <row r="367" spans="23:71" x14ac:dyDescent="0.25"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</row>
    <row r="368" spans="23:71" x14ac:dyDescent="0.25"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</row>
    <row r="369" spans="29:70" x14ac:dyDescent="0.25"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</row>
    <row r="370" spans="29:70" x14ac:dyDescent="0.25"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</row>
  </sheetData>
  <mergeCells count="40">
    <mergeCell ref="G134:I134"/>
    <mergeCell ref="C129:E129"/>
    <mergeCell ref="B57:B72"/>
    <mergeCell ref="B73:B87"/>
    <mergeCell ref="J56:K56"/>
    <mergeCell ref="H56:I56"/>
    <mergeCell ref="F56:G56"/>
    <mergeCell ref="Y307:AB307"/>
    <mergeCell ref="AC307:AF307"/>
    <mergeCell ref="AG307:AS307"/>
    <mergeCell ref="AT307:AY307"/>
    <mergeCell ref="N56:O56"/>
    <mergeCell ref="AS20:AX20"/>
    <mergeCell ref="AF20:AR20"/>
    <mergeCell ref="AB20:AE20"/>
    <mergeCell ref="X20:AA20"/>
    <mergeCell ref="B21:B36"/>
    <mergeCell ref="L2:N2"/>
    <mergeCell ref="C124:E124"/>
    <mergeCell ref="G124:I124"/>
    <mergeCell ref="D92:E92"/>
    <mergeCell ref="F92:G92"/>
    <mergeCell ref="F20:K20"/>
    <mergeCell ref="B20:E20"/>
    <mergeCell ref="C2:E2"/>
    <mergeCell ref="F2:H2"/>
    <mergeCell ref="I2:K2"/>
    <mergeCell ref="L20:U20"/>
    <mergeCell ref="L56:M56"/>
    <mergeCell ref="B37:B51"/>
    <mergeCell ref="B55:O55"/>
    <mergeCell ref="B56:E56"/>
    <mergeCell ref="X53:AA53"/>
    <mergeCell ref="AB53:AE53"/>
    <mergeCell ref="AF53:AR53"/>
    <mergeCell ref="AS53:AX53"/>
    <mergeCell ref="H92:I92"/>
    <mergeCell ref="J92:K92"/>
    <mergeCell ref="C91:M91"/>
    <mergeCell ref="L92:M92"/>
  </mergeCells>
  <phoneticPr fontId="6" type="noConversion"/>
  <pageMargins left="0.7" right="0.7" top="0.75" bottom="0.75" header="0.3" footer="0.3"/>
  <pageSetup paperSize="9" orientation="portrait" r:id="rId1"/>
  <cellWatches>
    <cellWatch r="Y110"/>
    <cellWatch r="Z110"/>
    <cellWatch r="Y111"/>
    <cellWatch r="Z111"/>
    <cellWatch r="Y112"/>
    <cellWatch r="Z112"/>
    <cellWatch r="Y113"/>
    <cellWatch r="Z113"/>
    <cellWatch r="Y114"/>
    <cellWatch r="Z114"/>
    <cellWatch r="Y115"/>
    <cellWatch r="Z115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F60"/>
  <sheetViews>
    <sheetView topLeftCell="A5" workbookViewId="0">
      <selection activeCell="C36" sqref="C36"/>
    </sheetView>
  </sheetViews>
  <sheetFormatPr defaultRowHeight="11.5" x14ac:dyDescent="0.25"/>
  <cols>
    <col min="1" max="1" width="1.296875" style="375" customWidth="1"/>
    <col min="5" max="5" width="5.3984375" bestFit="1" customWidth="1"/>
    <col min="6" max="6" width="1.09765625" style="375" customWidth="1"/>
    <col min="11" max="11" width="1.09765625" style="374" customWidth="1"/>
    <col min="12" max="12" width="5.09765625" bestFit="1" customWidth="1"/>
    <col min="15" max="15" width="7.8984375" customWidth="1"/>
    <col min="16" max="16" width="1.09765625" style="375" customWidth="1"/>
    <col min="21" max="21" width="0.8984375" style="375" customWidth="1"/>
    <col min="26" max="26" width="0.69921875" style="375" customWidth="1"/>
    <col min="27" max="27" width="53.296875" customWidth="1"/>
  </cols>
  <sheetData>
    <row r="1" spans="2:30" s="375" customFormat="1" ht="12" thickBot="1" x14ac:dyDescent="0.3">
      <c r="K1" s="374"/>
    </row>
    <row r="2" spans="2:30" ht="12" thickBot="1" x14ac:dyDescent="0.3">
      <c r="B2" s="460" t="s">
        <v>184</v>
      </c>
      <c r="C2" s="461"/>
      <c r="D2" s="461"/>
      <c r="E2" s="462"/>
      <c r="G2" s="455" t="str">
        <f>Calculations!D92</f>
        <v>KE1 (Body Roll, Positive TT)</v>
      </c>
      <c r="H2" s="456"/>
      <c r="I2" s="456"/>
      <c r="J2" s="457"/>
      <c r="L2" s="455" t="str">
        <f>Calculations!F92</f>
        <v>KE2 (Bounce Positive TT)</v>
      </c>
      <c r="M2" s="456"/>
      <c r="N2" s="456"/>
      <c r="O2" s="457"/>
      <c r="Q2" s="455" t="str">
        <f>Calculations!H92</f>
        <v>KE3 (Body Roll Negative TT)</v>
      </c>
      <c r="R2" s="456"/>
      <c r="S2" s="456"/>
      <c r="T2" s="457"/>
      <c r="V2" s="455" t="str">
        <f>Calculations!J92</f>
        <v>KE4 (Bounce, Negative TT)</v>
      </c>
      <c r="W2" s="456"/>
      <c r="X2" s="456"/>
      <c r="Y2" s="457"/>
      <c r="AA2" s="295" t="s">
        <v>157</v>
      </c>
    </row>
    <row r="3" spans="2:30" x14ac:dyDescent="0.25">
      <c r="B3" s="291" t="s">
        <v>16</v>
      </c>
      <c r="C3" s="291" t="s">
        <v>17</v>
      </c>
      <c r="D3" s="292" t="s">
        <v>18</v>
      </c>
      <c r="E3" s="292" t="s">
        <v>156</v>
      </c>
      <c r="G3" s="291" t="s">
        <v>16</v>
      </c>
      <c r="H3" s="291" t="s">
        <v>17</v>
      </c>
      <c r="I3" s="292" t="s">
        <v>18</v>
      </c>
      <c r="J3" s="292" t="s">
        <v>156</v>
      </c>
      <c r="L3" s="291" t="s">
        <v>16</v>
      </c>
      <c r="M3" s="291" t="s">
        <v>17</v>
      </c>
      <c r="N3" s="292" t="s">
        <v>18</v>
      </c>
      <c r="O3" s="292" t="s">
        <v>156</v>
      </c>
      <c r="Q3" s="291" t="s">
        <v>16</v>
      </c>
      <c r="R3" s="291" t="s">
        <v>17</v>
      </c>
      <c r="S3" s="292" t="s">
        <v>18</v>
      </c>
      <c r="T3" s="292" t="s">
        <v>156</v>
      </c>
      <c r="V3" s="291" t="s">
        <v>16</v>
      </c>
      <c r="W3" s="291" t="s">
        <v>17</v>
      </c>
      <c r="X3" s="292" t="s">
        <v>18</v>
      </c>
      <c r="Y3" s="292" t="s">
        <v>156</v>
      </c>
      <c r="Z3" s="376"/>
      <c r="AA3" s="373" t="str">
        <f>"--- KE Envelope Generator Rev." &amp; Calculations!$D$18 &amp; " ---"</f>
        <v>--- KE Envelope Generator Rev.2.3 ---</v>
      </c>
    </row>
    <row r="4" spans="2:30" x14ac:dyDescent="0.25">
      <c r="B4" s="239">
        <v>1</v>
      </c>
      <c r="C4" s="300">
        <f>Calculations!L94/1000</f>
        <v>-0.68202064107814453</v>
      </c>
      <c r="D4" s="360">
        <f>Calculations!M94/1000</f>
        <v>7.6475258028294094E-2</v>
      </c>
      <c r="E4" s="366">
        <v>0</v>
      </c>
      <c r="G4" s="239">
        <v>1</v>
      </c>
      <c r="H4" s="300">
        <f>Calculations!D94/1000</f>
        <v>-0.92523586683336556</v>
      </c>
      <c r="I4" s="360">
        <f>Calculations!E94/1000</f>
        <v>0.14317764943715269</v>
      </c>
      <c r="J4" s="366">
        <v>0</v>
      </c>
      <c r="L4" s="239">
        <v>1</v>
      </c>
      <c r="M4" s="360">
        <f>Calculations!F94/1000</f>
        <v>-0.92930281044330065</v>
      </c>
      <c r="N4" s="362">
        <f>Calculations!G94/1000</f>
        <v>0.19301197465254624</v>
      </c>
      <c r="O4" s="366">
        <v>0</v>
      </c>
      <c r="Q4" s="239">
        <v>1</v>
      </c>
      <c r="R4" s="300">
        <f>Calculations!H94/1000</f>
        <v>-0.92523586683336556</v>
      </c>
      <c r="S4" s="360">
        <f>Calculations!I94/1000</f>
        <v>-0.10667005731762118</v>
      </c>
      <c r="T4" s="366">
        <v>0</v>
      </c>
      <c r="V4" s="239">
        <v>1</v>
      </c>
      <c r="W4" s="360">
        <f>Calculations!J94/1000</f>
        <v>-0.92930281044330065</v>
      </c>
      <c r="X4" s="362">
        <f>Calculations!K94/1000</f>
        <v>-5.6835732102227629E-2</v>
      </c>
      <c r="Y4" s="366">
        <v>0</v>
      </c>
      <c r="Z4" s="376"/>
      <c r="AA4" s="238" t="str">
        <f>"STANDARD = " &amp; Calculations!$D$3</f>
        <v>STANDARD = RailCorp</v>
      </c>
    </row>
    <row r="5" spans="2:30" x14ac:dyDescent="0.25">
      <c r="B5" s="239">
        <v>2</v>
      </c>
      <c r="C5" s="300">
        <f>Calculations!L95/1000</f>
        <v>-0.67903060785555314</v>
      </c>
      <c r="D5" s="360">
        <f>Calculations!M95/1000</f>
        <v>1.5348837209302323E-3</v>
      </c>
      <c r="E5" s="366">
        <v>0</v>
      </c>
      <c r="G5" s="239">
        <v>2</v>
      </c>
      <c r="H5" s="300">
        <f>Calculations!D95/1000</f>
        <v>-0.91913545141846298</v>
      </c>
      <c r="I5" s="360">
        <f>Calculations!E95/1000</f>
        <v>6.8426161614062384E-2</v>
      </c>
      <c r="J5" s="366">
        <v>0</v>
      </c>
      <c r="L5" s="239">
        <v>2</v>
      </c>
      <c r="M5" s="300">
        <f>Calculations!F95/1000</f>
        <v>-0.92320239502839807</v>
      </c>
      <c r="N5" s="360">
        <f>Calculations!G95/1000</f>
        <v>0.11826048682945592</v>
      </c>
      <c r="O5" s="366">
        <v>0</v>
      </c>
      <c r="Q5" s="239">
        <v>2</v>
      </c>
      <c r="R5" s="300">
        <f>Calculations!H95/1000</f>
        <v>-0.91913545141846298</v>
      </c>
      <c r="S5" s="360">
        <f>Calculations!I95/1000</f>
        <v>-0.1814215451407116</v>
      </c>
      <c r="T5" s="366">
        <v>0</v>
      </c>
      <c r="V5" s="239">
        <v>2</v>
      </c>
      <c r="W5" s="360">
        <f>Calculations!J95/1000</f>
        <v>-0.92320239502839807</v>
      </c>
      <c r="X5" s="362">
        <f>Calculations!K95/1000</f>
        <v>-0.13158721992531808</v>
      </c>
      <c r="Y5" s="366">
        <v>0</v>
      </c>
      <c r="Z5" s="376"/>
      <c r="AA5" s="238" t="str">
        <f>"TRACK TYPE = " &amp;Calculations!$D$14</f>
        <v>TRACK TYPE = Plain Line</v>
      </c>
    </row>
    <row r="6" spans="2:30" x14ac:dyDescent="0.25">
      <c r="B6" s="239">
        <v>3</v>
      </c>
      <c r="C6" s="300">
        <f>Calculations!L96/1000</f>
        <v>-0.93982311044517941</v>
      </c>
      <c r="D6" s="360">
        <f>Calculations!M96/1000</f>
        <v>-8.870431893687707E-3</v>
      </c>
      <c r="E6" s="366">
        <v>0</v>
      </c>
      <c r="G6" s="239">
        <v>3</v>
      </c>
      <c r="H6" s="300">
        <f>Calculations!D96/1000</f>
        <v>-1.1792706290428172</v>
      </c>
      <c r="I6" s="360">
        <f>Calculations!E96/1000</f>
        <v>4.7196715970201239E-2</v>
      </c>
      <c r="J6" s="366">
        <v>0</v>
      </c>
      <c r="L6" s="239">
        <v>3</v>
      </c>
      <c r="M6" s="300">
        <f>Calculations!F96/1000</f>
        <v>-1.1833375726527524</v>
      </c>
      <c r="N6" s="360">
        <f>Calculations!G96/1000</f>
        <v>9.7031041185594774E-2</v>
      </c>
      <c r="O6" s="366">
        <v>0</v>
      </c>
      <c r="Q6" s="239">
        <v>3</v>
      </c>
      <c r="R6" s="300">
        <f>Calculations!H96/1000</f>
        <v>-1.1792706290428172</v>
      </c>
      <c r="S6" s="360">
        <f>Calculations!I96/1000</f>
        <v>-0.20265099078457274</v>
      </c>
      <c r="T6" s="366">
        <v>0</v>
      </c>
      <c r="V6" s="239">
        <v>3</v>
      </c>
      <c r="W6" s="360">
        <f>Calculations!J96/1000</f>
        <v>-1.1833375726527524</v>
      </c>
      <c r="X6" s="362">
        <f>Calculations!K96/1000</f>
        <v>-0.15281666556917919</v>
      </c>
      <c r="Y6" s="366">
        <v>0</v>
      </c>
      <c r="Z6" s="376"/>
      <c r="AA6" s="238" t="str">
        <f>"VEHICLE = " &amp; Calculations!$D$4</f>
        <v>VEHICLE = Narrow Non-Electric</v>
      </c>
      <c r="AB6" s="98"/>
    </row>
    <row r="7" spans="2:30" x14ac:dyDescent="0.25">
      <c r="B7" s="239">
        <v>4</v>
      </c>
      <c r="C7" s="300">
        <f>Calculations!L97/1000</f>
        <v>-0.94588291110963119</v>
      </c>
      <c r="D7" s="360">
        <f>Calculations!M97/1000</f>
        <v>0.1430087267025697</v>
      </c>
      <c r="E7" s="366">
        <v>0</v>
      </c>
      <c r="G7" s="239">
        <v>4</v>
      </c>
      <c r="H7" s="300">
        <f>Calculations!D97/1000</f>
        <v>-1.1916341376170201</v>
      </c>
      <c r="I7" s="360">
        <f>Calculations!E97/1000</f>
        <v>0.19869306462499747</v>
      </c>
      <c r="J7" s="366">
        <v>0</v>
      </c>
      <c r="L7" s="239">
        <v>4</v>
      </c>
      <c r="M7" s="300">
        <f>Calculations!F97/1000</f>
        <v>-1.1957010812269553</v>
      </c>
      <c r="N7" s="360">
        <f>Calculations!G97/1000</f>
        <v>0.24852738984039102</v>
      </c>
      <c r="O7" s="366">
        <v>0</v>
      </c>
      <c r="Q7" s="239">
        <v>4</v>
      </c>
      <c r="R7" s="300">
        <f>Calculations!H97/1000</f>
        <v>-1.1916341376170201</v>
      </c>
      <c r="S7" s="360">
        <f>Calculations!I97/1000</f>
        <v>-5.1154642129776447E-2</v>
      </c>
      <c r="T7" s="366">
        <v>0</v>
      </c>
      <c r="V7" s="239">
        <v>4</v>
      </c>
      <c r="W7" s="360">
        <f>Calculations!J97/1000</f>
        <v>-1.1957010812269553</v>
      </c>
      <c r="X7" s="362">
        <f>Calculations!K97/1000</f>
        <v>-1.3203169143829073E-3</v>
      </c>
      <c r="Y7" s="366">
        <v>0</v>
      </c>
      <c r="Z7" s="376"/>
      <c r="AA7" s="238" t="str">
        <f>"SLEEPER = " &amp; Calculations!$D$5</f>
        <v>SLEEPER = Concrete</v>
      </c>
      <c r="AB7" s="117"/>
    </row>
    <row r="8" spans="2:30" x14ac:dyDescent="0.25">
      <c r="B8" s="239">
        <v>5</v>
      </c>
      <c r="C8" s="300">
        <f>Calculations!L98/1000</f>
        <v>-1.2256603085237896</v>
      </c>
      <c r="D8" s="360">
        <f>Calculations!M98/1000</f>
        <v>0.1318459360048953</v>
      </c>
      <c r="E8" s="366">
        <v>0</v>
      </c>
      <c r="G8" s="239">
        <v>5</v>
      </c>
      <c r="H8" s="300">
        <f>Calculations!D98/1000</f>
        <v>-1.4707063588232239</v>
      </c>
      <c r="I8" s="360">
        <f>Calculations!E98/1000</f>
        <v>0.17591818040936108</v>
      </c>
      <c r="J8" s="366">
        <v>0</v>
      </c>
      <c r="L8" s="239">
        <v>5</v>
      </c>
      <c r="M8" s="300">
        <f>Calculations!F98/1000</f>
        <v>-1.4747733024331589</v>
      </c>
      <c r="N8" s="360">
        <f>Calculations!G98/1000</f>
        <v>0.2257525056247546</v>
      </c>
      <c r="O8" s="366">
        <v>0</v>
      </c>
      <c r="Q8" s="239">
        <v>5</v>
      </c>
      <c r="R8" s="300">
        <f>Calculations!H98/1000</f>
        <v>-1.4707063588232239</v>
      </c>
      <c r="S8" s="360">
        <f>Calculations!I98/1000</f>
        <v>-7.3929526345412916E-2</v>
      </c>
      <c r="T8" s="366">
        <v>0</v>
      </c>
      <c r="V8" s="239">
        <v>5</v>
      </c>
      <c r="W8" s="360">
        <f>Calculations!J98/1000</f>
        <v>-1.4747733024331589</v>
      </c>
      <c r="X8" s="362">
        <f>Calculations!K98/1000</f>
        <v>-2.409520113001937E-2</v>
      </c>
      <c r="Y8" s="366">
        <v>0</v>
      </c>
      <c r="Z8" s="376"/>
      <c r="AA8" s="238" t="str">
        <f>"CURVE RADIUS = " &amp;Calculations!$D$7 &amp; "m"</f>
        <v>CURVE RADIUS = 200m</v>
      </c>
      <c r="AD8" t="str">
        <f>CONCATENATE(AA10,AB8,AC8)</f>
        <v/>
      </c>
    </row>
    <row r="9" spans="2:30" x14ac:dyDescent="0.25">
      <c r="B9" s="239">
        <v>6</v>
      </c>
      <c r="C9" s="300">
        <f>Calculations!L99/1000</f>
        <v>-1.4631718085591741</v>
      </c>
      <c r="D9" s="360">
        <f>Calculations!M99/1000</f>
        <v>0.31552306400656477</v>
      </c>
      <c r="E9" s="366">
        <v>0</v>
      </c>
      <c r="G9" s="239">
        <v>6</v>
      </c>
      <c r="H9" s="300">
        <f>Calculations!D99/1000</f>
        <v>-1.7156426571483836</v>
      </c>
      <c r="I9" s="360">
        <f>Calculations!E99/1000</f>
        <v>0.34957073513507858</v>
      </c>
      <c r="J9" s="366">
        <v>0</v>
      </c>
      <c r="L9" s="239">
        <v>6</v>
      </c>
      <c r="M9" s="300">
        <f>Calculations!F99/1000</f>
        <v>-1.7197096007583188</v>
      </c>
      <c r="N9" s="360">
        <f>Calculations!G99/1000</f>
        <v>0.39940506035047213</v>
      </c>
      <c r="O9" s="366">
        <v>0</v>
      </c>
      <c r="Q9" s="239">
        <v>6</v>
      </c>
      <c r="R9" s="300">
        <f>Calculations!H99/1000</f>
        <v>-1.7156426571483836</v>
      </c>
      <c r="S9" s="360">
        <f>Calculations!I99/1000</f>
        <v>9.972302838030464E-2</v>
      </c>
      <c r="T9" s="366">
        <v>0</v>
      </c>
      <c r="V9" s="239">
        <v>6</v>
      </c>
      <c r="W9" s="360">
        <f>Calculations!J99/1000</f>
        <v>-1.7197096007583188</v>
      </c>
      <c r="X9" s="362">
        <f>Calculations!K99/1000</f>
        <v>0.14955735359569816</v>
      </c>
      <c r="Y9" s="366">
        <v>0</v>
      </c>
      <c r="Z9" s="376"/>
      <c r="AA9" s="238" t="str">
        <f>"SUPERELEVATION = " &amp; Calculations!$D$8 &amp; "mm"</f>
        <v>SUPERELEVATION = 60mm</v>
      </c>
    </row>
    <row r="10" spans="2:30" x14ac:dyDescent="0.25">
      <c r="B10" s="239">
        <v>7</v>
      </c>
      <c r="C10" s="300">
        <f>Calculations!L100/1000</f>
        <v>-1.4940688185259514</v>
      </c>
      <c r="D10" s="360">
        <f>Calculations!M100/1000</f>
        <v>1.0899069318493246</v>
      </c>
      <c r="E10" s="366">
        <v>0</v>
      </c>
      <c r="G10" s="239">
        <v>7</v>
      </c>
      <c r="H10" s="300">
        <f>Calculations!D100/1000</f>
        <v>-1.7786802831023778</v>
      </c>
      <c r="I10" s="360">
        <f>Calculations!E100/1000</f>
        <v>1.1220027759736786</v>
      </c>
      <c r="J10" s="366">
        <v>0</v>
      </c>
      <c r="L10" s="239">
        <v>7</v>
      </c>
      <c r="M10" s="300">
        <f>Calculations!F100/1000</f>
        <v>-1.782747226712313</v>
      </c>
      <c r="N10" s="360">
        <f>Calculations!G100/1000</f>
        <v>1.1718371011890722</v>
      </c>
      <c r="O10" s="366">
        <v>0</v>
      </c>
      <c r="Q10" s="239">
        <v>7</v>
      </c>
      <c r="R10" s="300">
        <f>Calculations!H100/1000</f>
        <v>-1.7786802831023778</v>
      </c>
      <c r="S10" s="360">
        <f>Calculations!I100/1000</f>
        <v>0.87215506921890462</v>
      </c>
      <c r="T10" s="366">
        <v>0</v>
      </c>
      <c r="V10" s="239">
        <v>7</v>
      </c>
      <c r="W10" s="360">
        <f>Calculations!J100/1000</f>
        <v>-1.782747226712313</v>
      </c>
      <c r="X10" s="362">
        <f>Calculations!K100/1000</f>
        <v>0.92198939443429806</v>
      </c>
      <c r="Y10" s="366">
        <v>0</v>
      </c>
      <c r="Z10" s="376"/>
      <c r="AA10" s="238"/>
    </row>
    <row r="11" spans="2:30" x14ac:dyDescent="0.25">
      <c r="B11" s="239">
        <v>8</v>
      </c>
      <c r="C11" s="300">
        <f>Calculations!L101/1000</f>
        <v>-1.5290409932027211</v>
      </c>
      <c r="D11" s="360">
        <f>Calculations!M101/1000</f>
        <v>1.088511583012115</v>
      </c>
      <c r="E11" s="366">
        <v>0</v>
      </c>
      <c r="G11" s="239">
        <v>8</v>
      </c>
      <c r="H11" s="300">
        <f>Calculations!D101/1000</f>
        <v>-1.8135643107531534</v>
      </c>
      <c r="I11" s="360">
        <f>Calculations!E101/1000</f>
        <v>1.1191559154467237</v>
      </c>
      <c r="J11" s="366">
        <v>0</v>
      </c>
      <c r="L11" s="239">
        <v>8</v>
      </c>
      <c r="M11" s="300">
        <f>Calculations!F101/1000</f>
        <v>-1.8176312543630886</v>
      </c>
      <c r="N11" s="360">
        <f>Calculations!G101/1000</f>
        <v>1.1689902406621173</v>
      </c>
      <c r="O11" s="366">
        <v>0</v>
      </c>
      <c r="Q11" s="239">
        <v>8</v>
      </c>
      <c r="R11" s="300">
        <f>Calculations!H101/1000</f>
        <v>-1.8135643107531534</v>
      </c>
      <c r="S11" s="360">
        <f>Calculations!I101/1000</f>
        <v>0.86930820869194958</v>
      </c>
      <c r="T11" s="366">
        <v>0</v>
      </c>
      <c r="V11" s="239">
        <v>8</v>
      </c>
      <c r="W11" s="360">
        <f>Calculations!J101/1000</f>
        <v>-1.8176312543630886</v>
      </c>
      <c r="X11" s="362">
        <f>Calculations!K101/1000</f>
        <v>0.91914253390734313</v>
      </c>
      <c r="Y11" s="366">
        <v>0</v>
      </c>
      <c r="Z11" s="376"/>
      <c r="AA11" s="238" t="str">
        <f>"SUPERELEVATION TOLERANCE = " &amp;Calculations!$G$9 &amp; "mm"</f>
        <v>SUPERELEVATION TOLERANCE = 10mm</v>
      </c>
    </row>
    <row r="12" spans="2:30" x14ac:dyDescent="0.25">
      <c r="B12" s="239">
        <v>9</v>
      </c>
      <c r="C12" s="300">
        <f>Calculations!L102/1000</f>
        <v>-1.6271140829037178</v>
      </c>
      <c r="D12" s="360">
        <f>Calculations!M102/1000</f>
        <v>3.5465558602936498</v>
      </c>
      <c r="E12" s="366">
        <v>0</v>
      </c>
      <c r="G12" s="239">
        <v>9</v>
      </c>
      <c r="H12" s="300">
        <f>Calculations!D102/1000</f>
        <v>-2.0136579363619607</v>
      </c>
      <c r="I12" s="360">
        <f>Calculations!E102/1000</f>
        <v>3.5710047160440856</v>
      </c>
      <c r="J12" s="366">
        <v>0</v>
      </c>
      <c r="L12" s="239">
        <v>9</v>
      </c>
      <c r="M12" s="300">
        <f>Calculations!F102/1000</f>
        <v>-2.0177248799718956</v>
      </c>
      <c r="N12" s="360">
        <f>Calculations!G102/1000</f>
        <v>3.6208390412594795</v>
      </c>
      <c r="O12" s="366">
        <v>0</v>
      </c>
      <c r="Q12" s="239">
        <v>9</v>
      </c>
      <c r="R12" s="300">
        <f>Calculations!H102/1000</f>
        <v>-2.0136579363619607</v>
      </c>
      <c r="S12" s="360">
        <f>Calculations!I102/1000</f>
        <v>3.3211570092893119</v>
      </c>
      <c r="T12" s="366">
        <v>0</v>
      </c>
      <c r="V12" s="239">
        <v>9</v>
      </c>
      <c r="W12" s="360">
        <f>Calculations!J102/1000</f>
        <v>-2.0177248799718956</v>
      </c>
      <c r="X12" s="362">
        <f>Calculations!K102/1000</f>
        <v>3.3709913345047058</v>
      </c>
      <c r="Y12" s="366">
        <v>0</v>
      </c>
      <c r="Z12" s="376"/>
      <c r="AA12" s="238" t="str">
        <f>"LATERAL TRACK TOLERANCE = " &amp; Calculations!$G$10 &amp; "mm"</f>
        <v>LATERAL TRACK TOLERANCE = 25mm</v>
      </c>
    </row>
    <row r="13" spans="2:30" x14ac:dyDescent="0.25">
      <c r="B13" s="239">
        <v>10</v>
      </c>
      <c r="C13" s="300">
        <f>Calculations!L103/1000</f>
        <v>-1.405696258911187</v>
      </c>
      <c r="D13" s="360">
        <f>Calculations!M103/1000</f>
        <v>3.8916575079547591</v>
      </c>
      <c r="E13" s="366">
        <v>0</v>
      </c>
      <c r="G13" s="239">
        <v>10</v>
      </c>
      <c r="H13" s="300">
        <f>Calculations!D103/1000</f>
        <v>-1.8067664689083744</v>
      </c>
      <c r="I13" s="360">
        <f>Calculations!E103/1000</f>
        <v>3.9250060164582252</v>
      </c>
      <c r="J13" s="366">
        <v>0</v>
      </c>
      <c r="L13" s="239">
        <v>10</v>
      </c>
      <c r="M13" s="300">
        <f>Calculations!F103/1000</f>
        <v>-1.8108334125183096</v>
      </c>
      <c r="N13" s="360">
        <f>Calculations!G103/1000</f>
        <v>3.9748403416736187</v>
      </c>
      <c r="O13" s="366">
        <v>0</v>
      </c>
      <c r="Q13" s="239">
        <v>10</v>
      </c>
      <c r="R13" s="300">
        <f>Calculations!H103/1000</f>
        <v>-1.8067664689083744</v>
      </c>
      <c r="S13" s="360">
        <f>Calculations!I103/1000</f>
        <v>3.6751583097034515</v>
      </c>
      <c r="T13" s="366">
        <v>0</v>
      </c>
      <c r="V13" s="239">
        <v>10</v>
      </c>
      <c r="W13" s="360">
        <f>Calculations!J103/1000</f>
        <v>-1.8108334125183096</v>
      </c>
      <c r="X13" s="362">
        <f>Calculations!K103/1000</f>
        <v>3.7249926349188449</v>
      </c>
      <c r="Y13" s="366">
        <v>0</v>
      </c>
      <c r="Z13" s="376"/>
      <c r="AA13" s="238" t="str">
        <f>"LATERAL RAIL WEAR = " &amp; Calculations!$G$8 &amp; "mm"</f>
        <v>LATERAL RAIL WEAR = 15mm</v>
      </c>
    </row>
    <row r="14" spans="2:30" x14ac:dyDescent="0.25">
      <c r="B14" s="239">
        <v>11</v>
      </c>
      <c r="C14" s="300">
        <f>Calculations!L104/1000</f>
        <v>-1.225786857214374</v>
      </c>
      <c r="D14" s="360">
        <f>Calculations!M104/1000</f>
        <v>4.0229343420919923</v>
      </c>
      <c r="E14" s="366">
        <v>0</v>
      </c>
      <c r="G14" s="239">
        <v>11</v>
      </c>
      <c r="H14" s="300">
        <f>Calculations!D104/1000</f>
        <v>-1.632465485764057</v>
      </c>
      <c r="I14" s="360">
        <f>Calculations!E104/1000</f>
        <v>4.0636428343491611</v>
      </c>
      <c r="J14" s="366">
        <v>0</v>
      </c>
      <c r="L14" s="239">
        <v>11</v>
      </c>
      <c r="M14" s="300">
        <f>Calculations!F104/1000</f>
        <v>-1.6365324293739922</v>
      </c>
      <c r="N14" s="360">
        <f>Calculations!G104/1000</f>
        <v>4.1134771595645541</v>
      </c>
      <c r="O14" s="366">
        <v>0</v>
      </c>
      <c r="Q14" s="239">
        <v>11</v>
      </c>
      <c r="R14" s="300">
        <f>Calculations!H104/1000</f>
        <v>-1.632465485764057</v>
      </c>
      <c r="S14" s="360">
        <f>Calculations!I104/1000</f>
        <v>3.8137951275943869</v>
      </c>
      <c r="T14" s="366">
        <v>0</v>
      </c>
      <c r="V14" s="239">
        <v>11</v>
      </c>
      <c r="W14" s="360">
        <f>Calculations!J104/1000</f>
        <v>-1.6365324293739922</v>
      </c>
      <c r="X14" s="362">
        <f>Calculations!K104/1000</f>
        <v>3.8636294528097808</v>
      </c>
      <c r="Y14" s="366">
        <v>0</v>
      </c>
      <c r="Z14" s="376"/>
      <c r="AA14" s="238" t="str">
        <f>"VERTICAL TRACK TOLERANCE = +" &amp; Calculations!$G$6 &amp; "mm, -" &amp; Calculations!$G$7 &amp; "mm"</f>
        <v>VERTICAL TRACK TOLERANCE = +100mm, -150mm</v>
      </c>
      <c r="AB14" s="111"/>
    </row>
    <row r="15" spans="2:30" x14ac:dyDescent="0.25">
      <c r="B15" s="239">
        <v>12</v>
      </c>
      <c r="C15" s="300">
        <f>Calculations!L105/1000</f>
        <v>-0.92700940147627697</v>
      </c>
      <c r="D15" s="360">
        <f>Calculations!M105/1000</f>
        <v>4.1849745591452585</v>
      </c>
      <c r="E15" s="366">
        <v>0</v>
      </c>
      <c r="G15" s="239">
        <v>12</v>
      </c>
      <c r="H15" s="300">
        <f>Calculations!D105/1000</f>
        <v>-1.3406769327799624</v>
      </c>
      <c r="I15" s="360">
        <f>Calculations!E105/1000</f>
        <v>4.2379541660159452</v>
      </c>
      <c r="J15" s="366">
        <v>0</v>
      </c>
      <c r="L15" s="239">
        <v>12</v>
      </c>
      <c r="M15" s="300">
        <f>Calculations!F105/1000</f>
        <v>-1.3447438763898973</v>
      </c>
      <c r="N15" s="360">
        <f>Calculations!G105/1000</f>
        <v>4.2877884912313382</v>
      </c>
      <c r="O15" s="366">
        <v>0</v>
      </c>
      <c r="Q15" s="239">
        <v>12</v>
      </c>
      <c r="R15" s="300">
        <f>Calculations!H105/1000</f>
        <v>-1.3406769327799624</v>
      </c>
      <c r="S15" s="360">
        <f>Calculations!I105/1000</f>
        <v>3.988106459261171</v>
      </c>
      <c r="T15" s="366">
        <v>0</v>
      </c>
      <c r="V15" s="239">
        <v>12</v>
      </c>
      <c r="W15" s="360">
        <f>Calculations!J105/1000</f>
        <v>-1.3447438763898973</v>
      </c>
      <c r="X15" s="362">
        <f>Calculations!K105/1000</f>
        <v>4.0379407844765645</v>
      </c>
      <c r="Y15" s="366">
        <v>0</v>
      </c>
      <c r="Z15" s="376"/>
      <c r="AA15" s="238"/>
      <c r="AB15" s="111"/>
    </row>
    <row r="16" spans="2:30" x14ac:dyDescent="0.25">
      <c r="B16" s="239">
        <v>13</v>
      </c>
      <c r="C16" s="300">
        <f>Calculations!L106/1000</f>
        <v>-0.62544124806376133</v>
      </c>
      <c r="D16" s="360">
        <f>Calculations!M106/1000</f>
        <v>4.2770704268449853</v>
      </c>
      <c r="E16" s="366">
        <v>0</v>
      </c>
      <c r="G16" s="239">
        <v>13</v>
      </c>
      <c r="H16" s="300">
        <f>Calculations!D106/1000</f>
        <v>-1.0431946587419574</v>
      </c>
      <c r="I16" s="360">
        <f>Calculations!E106/1000</f>
        <v>4.3424974423811795</v>
      </c>
      <c r="J16" s="366">
        <v>0</v>
      </c>
      <c r="L16" s="239">
        <v>13</v>
      </c>
      <c r="M16" s="300">
        <f>Calculations!F106/1000</f>
        <v>-1.0472616023518926</v>
      </c>
      <c r="N16" s="360">
        <f>Calculations!G106/1000</f>
        <v>4.3923317675965725</v>
      </c>
      <c r="O16" s="366">
        <v>0</v>
      </c>
      <c r="Q16" s="239">
        <v>13</v>
      </c>
      <c r="R16" s="300">
        <f>Calculations!H106/1000</f>
        <v>-1.0431946587419574</v>
      </c>
      <c r="S16" s="360">
        <f>Calculations!I106/1000</f>
        <v>4.0926497356264049</v>
      </c>
      <c r="T16" s="366">
        <v>0</v>
      </c>
      <c r="V16" s="239">
        <v>13</v>
      </c>
      <c r="W16" s="360">
        <f>Calculations!J106/1000</f>
        <v>-1.0472616023518926</v>
      </c>
      <c r="X16" s="362">
        <f>Calculations!K106/1000</f>
        <v>4.1424840608417979</v>
      </c>
      <c r="Y16" s="366">
        <v>0</v>
      </c>
      <c r="Z16" s="376"/>
      <c r="AA16" s="238" t="str">
        <f>"CENTRE THROW = " &amp; ROUND(Calculations!$AB$22,1) &amp; "mm"</f>
        <v>CENTRE THROW = 163.1mm</v>
      </c>
    </row>
    <row r="17" spans="2:27" x14ac:dyDescent="0.25">
      <c r="B17" s="239">
        <v>14</v>
      </c>
      <c r="C17" s="300">
        <f>Calculations!L107/1000</f>
        <v>-0.17080297726575397</v>
      </c>
      <c r="D17" s="360">
        <f>Calculations!M107/1000</f>
        <v>4.2952099617287072</v>
      </c>
      <c r="E17" s="366">
        <v>0</v>
      </c>
      <c r="G17" s="239">
        <v>14</v>
      </c>
      <c r="H17" s="300">
        <f>Calculations!D107/1000</f>
        <v>-0.58970229928187634</v>
      </c>
      <c r="I17" s="360">
        <f>Calculations!E107/1000</f>
        <v>4.3795066292315896</v>
      </c>
      <c r="J17" s="366">
        <v>0</v>
      </c>
      <c r="L17" s="239">
        <v>14</v>
      </c>
      <c r="M17" s="300">
        <f>Calculations!F107/1000</f>
        <v>-0.59376924289181143</v>
      </c>
      <c r="N17" s="360">
        <f>Calculations!G107/1000</f>
        <v>4.4293409544469835</v>
      </c>
      <c r="O17" s="366">
        <v>0</v>
      </c>
      <c r="Q17" s="239">
        <v>14</v>
      </c>
      <c r="R17" s="300">
        <f>Calculations!H107/1000</f>
        <v>-0.58970229928187634</v>
      </c>
      <c r="S17" s="360">
        <f>Calculations!I107/1000</f>
        <v>4.129658922476815</v>
      </c>
      <c r="T17" s="366">
        <v>0</v>
      </c>
      <c r="V17" s="239">
        <v>14</v>
      </c>
      <c r="W17" s="360">
        <f>Calculations!J107/1000</f>
        <v>-0.59376924289181143</v>
      </c>
      <c r="X17" s="362">
        <f>Calculations!K107/1000</f>
        <v>4.1794932476922089</v>
      </c>
      <c r="Y17" s="366">
        <v>0</v>
      </c>
      <c r="Z17" s="376"/>
      <c r="AA17" s="238" t="str">
        <f>"END THROW = " &amp; ROUND(Calculations!$AC$23,1) &amp; "mm"</f>
        <v>END THROW = 161.1mm</v>
      </c>
    </row>
    <row r="18" spans="2:27" x14ac:dyDescent="0.25">
      <c r="B18" s="239">
        <v>15</v>
      </c>
      <c r="C18" s="300">
        <f>Calculations!L108/1000</f>
        <v>-0.17080297726575397</v>
      </c>
      <c r="D18" s="360">
        <f>Calculations!M108/1000</f>
        <v>4.2952099617287072</v>
      </c>
      <c r="E18" s="366">
        <v>0</v>
      </c>
      <c r="G18" s="239">
        <v>15</v>
      </c>
      <c r="H18" s="300">
        <f>Calculations!D108/1000</f>
        <v>0.24644826545737233</v>
      </c>
      <c r="I18" s="360">
        <f>Calculations!E108/1000</f>
        <v>4.4013439238166816</v>
      </c>
      <c r="J18" s="366">
        <v>0</v>
      </c>
      <c r="L18" s="239">
        <v>15</v>
      </c>
      <c r="M18" s="300">
        <f>Calculations!F108/1000</f>
        <v>0.24653193913348195</v>
      </c>
      <c r="N18" s="360">
        <f>Calculations!G108/1000</f>
        <v>4.4513438538037926</v>
      </c>
      <c r="O18" s="366">
        <v>0</v>
      </c>
      <c r="Q18" s="239">
        <v>15</v>
      </c>
      <c r="R18" s="300">
        <f>Calculations!H108/1000</f>
        <v>0.24644826545737233</v>
      </c>
      <c r="S18" s="360">
        <f>Calculations!I108/1000</f>
        <v>4.151496217061907</v>
      </c>
      <c r="T18" s="366">
        <v>0</v>
      </c>
      <c r="V18" s="239">
        <v>15</v>
      </c>
      <c r="W18" s="360">
        <f>Calculations!J108/1000</f>
        <v>0.24653193913348195</v>
      </c>
      <c r="X18" s="362">
        <f>Calculations!K108/1000</f>
        <v>4.201496147049018</v>
      </c>
      <c r="Y18" s="366">
        <v>0</v>
      </c>
      <c r="Z18" s="376"/>
      <c r="AA18" s="238" t="str">
        <f>"BODY ROLL = "&amp; Calculations!$J$8&amp;" DEGREES"</f>
        <v>BODY ROLL = 2 DEGREES</v>
      </c>
    </row>
    <row r="19" spans="2:27" x14ac:dyDescent="0.25">
      <c r="B19" s="239">
        <v>16</v>
      </c>
      <c r="C19" s="300">
        <f>Calculations!L109/1000</f>
        <v>-0.17080297726575397</v>
      </c>
      <c r="D19" s="360">
        <f>Calculations!M109/1000</f>
        <v>4.2952099617287072</v>
      </c>
      <c r="E19" s="366">
        <v>0</v>
      </c>
      <c r="G19" s="239">
        <v>16</v>
      </c>
      <c r="H19" s="300">
        <f>Calculations!D109/1000</f>
        <v>0.24644826545737233</v>
      </c>
      <c r="I19" s="360">
        <f>Calculations!E109/1000</f>
        <v>4.4013439238166816</v>
      </c>
      <c r="J19" s="366">
        <v>0</v>
      </c>
      <c r="L19" s="239">
        <v>16</v>
      </c>
      <c r="M19" s="300">
        <f>Calculations!F109/1000</f>
        <v>0.24653193913348195</v>
      </c>
      <c r="N19" s="360">
        <f>Calculations!G109/1000</f>
        <v>4.4513438538037926</v>
      </c>
      <c r="O19" s="366">
        <v>0</v>
      </c>
      <c r="Q19" s="239">
        <v>16</v>
      </c>
      <c r="R19" s="300">
        <f>Calculations!H109/1000</f>
        <v>0.24644826545737233</v>
      </c>
      <c r="S19" s="360">
        <f>Calculations!I109/1000</f>
        <v>4.151496217061907</v>
      </c>
      <c r="T19" s="366">
        <v>0</v>
      </c>
      <c r="V19" s="239">
        <v>16</v>
      </c>
      <c r="W19" s="360">
        <f>Calculations!J109/1000</f>
        <v>0.24653193913348195</v>
      </c>
      <c r="X19" s="362">
        <f>Calculations!K109/1000</f>
        <v>4.201496147049018</v>
      </c>
      <c r="Y19" s="366">
        <v>0</v>
      </c>
      <c r="Z19" s="376"/>
      <c r="AA19" s="238" t="str">
        <f>"VEHICLE BOUNCE = " &amp; Calculations!$J$12 &amp; "mm"</f>
        <v>VEHICLE BOUNCE = 50mm</v>
      </c>
    </row>
    <row r="20" spans="2:27" x14ac:dyDescent="0.25">
      <c r="B20" s="239">
        <v>17</v>
      </c>
      <c r="C20" s="300">
        <f>Calculations!L110/1000</f>
        <v>0.28383529353225345</v>
      </c>
      <c r="D20" s="360">
        <f>Calculations!M110/1000</f>
        <v>4.3133494966124273</v>
      </c>
      <c r="E20" s="366">
        <v>0</v>
      </c>
      <c r="G20" s="239">
        <v>17</v>
      </c>
      <c r="H20" s="300">
        <f>Calculations!D110/1000</f>
        <v>0.70144762834007568</v>
      </c>
      <c r="I20" s="360">
        <f>Calculations!E110/1000</f>
        <v>4.4005824933640847</v>
      </c>
      <c r="J20" s="366">
        <v>0</v>
      </c>
      <c r="L20" s="239">
        <v>17</v>
      </c>
      <c r="M20" s="300">
        <f>Calculations!F110/1000</f>
        <v>0.70153130201618519</v>
      </c>
      <c r="N20" s="360">
        <f>Calculations!G110/1000</f>
        <v>4.4505824233511948</v>
      </c>
      <c r="O20" s="366">
        <v>0</v>
      </c>
      <c r="Q20" s="239">
        <v>17</v>
      </c>
      <c r="R20" s="300">
        <f>Calculations!H110/1000</f>
        <v>0.70144762834007568</v>
      </c>
      <c r="S20" s="360">
        <f>Calculations!I110/1000</f>
        <v>4.1507347866093109</v>
      </c>
      <c r="T20" s="366">
        <v>0</v>
      </c>
      <c r="V20" s="239">
        <v>17</v>
      </c>
      <c r="W20" s="360">
        <f>Calculations!J110/1000</f>
        <v>0.70153130201618519</v>
      </c>
      <c r="X20" s="362">
        <f>Calculations!K110/1000</f>
        <v>4.2007347165964211</v>
      </c>
      <c r="Y20" s="366">
        <v>0</v>
      </c>
      <c r="Z20" s="376"/>
      <c r="AA20" s="238" t="str">
        <f>"VEHICLE LATERAL DISPLACEMENT = " &amp; Calculations!$J$4 &amp; "mm"</f>
        <v>VEHICLE LATERAL DISPLACEMENT = 60mm</v>
      </c>
    </row>
    <row r="21" spans="2:27" x14ac:dyDescent="0.25">
      <c r="B21" s="239">
        <v>18</v>
      </c>
      <c r="C21" s="300">
        <f>Calculations!L111/1000</f>
        <v>0.59178218448629716</v>
      </c>
      <c r="D21" s="360">
        <f>Calculations!M111/1000</f>
        <v>4.2455725657897769</v>
      </c>
      <c r="E21" s="366">
        <v>0</v>
      </c>
      <c r="G21" s="239">
        <v>18</v>
      </c>
      <c r="H21" s="300">
        <f>Calculations!D111/1000</f>
        <v>1.0063133233796728</v>
      </c>
      <c r="I21" s="360">
        <f>Calculations!E111/1000</f>
        <v>4.3200721959604387</v>
      </c>
      <c r="J21" s="366">
        <v>0</v>
      </c>
      <c r="L21" s="239">
        <v>18</v>
      </c>
      <c r="M21" s="300">
        <f>Calculations!F111/1000</f>
        <v>1.0063969970557822</v>
      </c>
      <c r="N21" s="360">
        <f>Calculations!G111/1000</f>
        <v>4.3700721259475497</v>
      </c>
      <c r="O21" s="366">
        <v>0</v>
      </c>
      <c r="Q21" s="239">
        <v>18</v>
      </c>
      <c r="R21" s="300">
        <f>Calculations!H111/1000</f>
        <v>1.0063133233796728</v>
      </c>
      <c r="S21" s="360">
        <f>Calculations!I111/1000</f>
        <v>4.0702244892056658</v>
      </c>
      <c r="T21" s="366">
        <v>0</v>
      </c>
      <c r="V21" s="239">
        <v>18</v>
      </c>
      <c r="W21" s="360">
        <f>Calculations!J111/1000</f>
        <v>1.0063969970557822</v>
      </c>
      <c r="X21" s="362">
        <f>Calculations!K111/1000</f>
        <v>4.1202244191927759</v>
      </c>
      <c r="Y21" s="366">
        <v>0</v>
      </c>
      <c r="Z21" s="376"/>
      <c r="AA21" s="238"/>
    </row>
    <row r="22" spans="2:27" x14ac:dyDescent="0.25">
      <c r="B22" s="239">
        <v>19</v>
      </c>
      <c r="C22" s="300">
        <f>Calculations!L112/1000</f>
        <v>0.90251977311475962</v>
      </c>
      <c r="D22" s="360">
        <f>Calculations!M112/1000</f>
        <v>4.107851285613588</v>
      </c>
      <c r="E22" s="366">
        <v>0</v>
      </c>
      <c r="G22" s="239">
        <v>19</v>
      </c>
      <c r="H22" s="300">
        <f>Calculations!D112/1000</f>
        <v>1.3110618752727163</v>
      </c>
      <c r="I22" s="360">
        <f>Calculations!E112/1000</f>
        <v>4.1695619965748394</v>
      </c>
      <c r="J22" s="366">
        <v>0</v>
      </c>
      <c r="L22" s="239">
        <v>19</v>
      </c>
      <c r="M22" s="300">
        <f>Calculations!F112/1000</f>
        <v>1.311145548948826</v>
      </c>
      <c r="N22" s="360">
        <f>Calculations!G112/1000</f>
        <v>4.2195619265619495</v>
      </c>
      <c r="O22" s="366">
        <v>0</v>
      </c>
      <c r="Q22" s="239">
        <v>19</v>
      </c>
      <c r="R22" s="300">
        <f>Calculations!H112/1000</f>
        <v>1.3110618752727163</v>
      </c>
      <c r="S22" s="360">
        <f>Calculations!I112/1000</f>
        <v>3.9197142898200661</v>
      </c>
      <c r="T22" s="366">
        <v>0</v>
      </c>
      <c r="V22" s="239">
        <v>19</v>
      </c>
      <c r="W22" s="360">
        <f>Calculations!J112/1000</f>
        <v>1.311145548948826</v>
      </c>
      <c r="X22" s="362">
        <f>Calculations!K112/1000</f>
        <v>3.9697142198071762</v>
      </c>
      <c r="Y22" s="366">
        <v>0</v>
      </c>
      <c r="Z22" s="376"/>
      <c r="AA22" s="238" t="s">
        <v>193</v>
      </c>
    </row>
    <row r="23" spans="2:27" x14ac:dyDescent="0.25">
      <c r="B23" s="239">
        <v>20</v>
      </c>
      <c r="C23" s="300">
        <f>Calculations!L113/1000</f>
        <v>1.0923162180009416</v>
      </c>
      <c r="D23" s="360">
        <f>Calculations!M113/1000</f>
        <v>3.9913252820411382</v>
      </c>
      <c r="E23" s="366">
        <v>0</v>
      </c>
      <c r="G23" s="239">
        <v>20</v>
      </c>
      <c r="H23" s="300">
        <f>Calculations!D113/1000</f>
        <v>1.4958541055082726</v>
      </c>
      <c r="I23" s="360">
        <f>Calculations!E113/1000</f>
        <v>4.0452525776052015</v>
      </c>
      <c r="J23" s="366">
        <v>0</v>
      </c>
      <c r="L23" s="239">
        <v>20</v>
      </c>
      <c r="M23" s="300">
        <f>Calculations!F113/1000</f>
        <v>1.4959377791843822</v>
      </c>
      <c r="N23" s="360">
        <f>Calculations!G113/1000</f>
        <v>4.0952525075923116</v>
      </c>
      <c r="O23" s="366">
        <v>0</v>
      </c>
      <c r="Q23" s="239">
        <v>20</v>
      </c>
      <c r="R23" s="300">
        <f>Calculations!H113/1000</f>
        <v>1.4958541055082726</v>
      </c>
      <c r="S23" s="360">
        <f>Calculations!I113/1000</f>
        <v>3.7954048708504273</v>
      </c>
      <c r="T23" s="366">
        <v>0</v>
      </c>
      <c r="V23" s="239">
        <v>20</v>
      </c>
      <c r="W23" s="360">
        <f>Calculations!J113/1000</f>
        <v>1.4959377791843822</v>
      </c>
      <c r="X23" s="362">
        <f>Calculations!K113/1000</f>
        <v>3.8454048008375374</v>
      </c>
      <c r="Y23" s="366">
        <v>0</v>
      </c>
      <c r="Z23" s="376"/>
      <c r="AA23" s="238" t="s">
        <v>189</v>
      </c>
    </row>
    <row r="24" spans="2:27" x14ac:dyDescent="0.25">
      <c r="B24" s="239">
        <v>21</v>
      </c>
      <c r="C24" s="300">
        <f>Calculations!L114/1000</f>
        <v>1.3405247396678908</v>
      </c>
      <c r="D24" s="360">
        <f>Calculations!M114/1000</f>
        <v>3.6649611759082679</v>
      </c>
      <c r="E24" s="366">
        <v>0</v>
      </c>
      <c r="G24" s="239">
        <v>21</v>
      </c>
      <c r="H24" s="300">
        <f>Calculations!D114/1000</f>
        <v>1.7302914893442338</v>
      </c>
      <c r="I24" s="360">
        <f>Calculations!E114/1000</f>
        <v>3.7088597818141054</v>
      </c>
      <c r="J24" s="366">
        <v>0</v>
      </c>
      <c r="L24" s="239">
        <v>21</v>
      </c>
      <c r="M24" s="300">
        <f>Calculations!F114/1000</f>
        <v>1.7303751630203434</v>
      </c>
      <c r="N24" s="360">
        <f>Calculations!G114/1000</f>
        <v>3.7588597118012155</v>
      </c>
      <c r="O24" s="366">
        <v>0</v>
      </c>
      <c r="Q24" s="239">
        <v>21</v>
      </c>
      <c r="R24" s="300">
        <f>Calculations!H114/1000</f>
        <v>1.7302914893442338</v>
      </c>
      <c r="S24" s="360">
        <f>Calculations!I114/1000</f>
        <v>3.4590120750593316</v>
      </c>
      <c r="T24" s="366">
        <v>0</v>
      </c>
      <c r="V24" s="239">
        <v>21</v>
      </c>
      <c r="W24" s="360">
        <f>Calculations!J114/1000</f>
        <v>1.7303751630203434</v>
      </c>
      <c r="X24" s="362">
        <f>Calculations!K114/1000</f>
        <v>3.5090120050464417</v>
      </c>
      <c r="Y24" s="366">
        <v>0</v>
      </c>
      <c r="Z24" s="376"/>
      <c r="AA24" s="238" t="s">
        <v>190</v>
      </c>
    </row>
    <row r="25" spans="2:27" ht="12" thickBot="1" x14ac:dyDescent="0.3">
      <c r="B25" s="239">
        <v>22</v>
      </c>
      <c r="C25" s="300">
        <f>Calculations!L115/1000</f>
        <v>1.4385978293688875</v>
      </c>
      <c r="D25" s="360">
        <f>Calculations!M115/1000</f>
        <v>1.2069168986267331</v>
      </c>
      <c r="E25" s="366">
        <v>0</v>
      </c>
      <c r="G25" s="239">
        <v>22</v>
      </c>
      <c r="H25" s="300">
        <f>Calculations!D115/1000</f>
        <v>1.7261747444796416</v>
      </c>
      <c r="I25" s="360">
        <f>Calculations!E115/1000</f>
        <v>1.2488632264482813</v>
      </c>
      <c r="J25" s="366">
        <v>0</v>
      </c>
      <c r="L25" s="239">
        <v>22</v>
      </c>
      <c r="M25" s="300">
        <f>Calculations!F115/1000</f>
        <v>1.726258418155751</v>
      </c>
      <c r="N25" s="360">
        <f>Calculations!G115/1000</f>
        <v>1.2988631564353914</v>
      </c>
      <c r="O25" s="366">
        <v>0</v>
      </c>
      <c r="Q25" s="239">
        <v>22</v>
      </c>
      <c r="R25" s="300">
        <f>Calculations!H115/1000</f>
        <v>1.7261747444796416</v>
      </c>
      <c r="S25" s="360">
        <f>Calculations!I115/1000</f>
        <v>0.99901551969350721</v>
      </c>
      <c r="T25" s="366">
        <v>0</v>
      </c>
      <c r="V25" s="239">
        <v>22</v>
      </c>
      <c r="W25" s="360">
        <f>Calculations!J115/1000</f>
        <v>1.726258418155751</v>
      </c>
      <c r="X25" s="362">
        <f>Calculations!K115/1000</f>
        <v>1.0490154496806177</v>
      </c>
      <c r="Y25" s="366">
        <v>0</v>
      </c>
      <c r="Z25" s="376"/>
      <c r="AA25" s="365" t="s">
        <v>191</v>
      </c>
    </row>
    <row r="26" spans="2:27" x14ac:dyDescent="0.25">
      <c r="B26" s="239">
        <v>23</v>
      </c>
      <c r="C26" s="300">
        <f>Calculations!L116/1000</f>
        <v>1.4036256546921175</v>
      </c>
      <c r="D26" s="360">
        <f>Calculations!M116/1000</f>
        <v>1.2055215497895237</v>
      </c>
      <c r="E26" s="366">
        <v>0</v>
      </c>
      <c r="G26" s="239">
        <v>23</v>
      </c>
      <c r="H26" s="300">
        <f>Calculations!D116/1000</f>
        <v>1.6911747934886638</v>
      </c>
      <c r="I26" s="360">
        <f>Calculations!E116/1000</f>
        <v>1.2489217980215579</v>
      </c>
      <c r="J26" s="366">
        <v>0</v>
      </c>
      <c r="L26" s="239">
        <v>23</v>
      </c>
      <c r="M26" s="300">
        <f>Calculations!F116/1000</f>
        <v>1.6912584671647735</v>
      </c>
      <c r="N26" s="360">
        <f>Calculations!G116/1000</f>
        <v>1.2989217280086682</v>
      </c>
      <c r="O26" s="366">
        <v>0</v>
      </c>
      <c r="Q26" s="239">
        <v>23</v>
      </c>
      <c r="R26" s="300">
        <f>Calculations!H116/1000</f>
        <v>1.6911747934886638</v>
      </c>
      <c r="S26" s="360">
        <f>Calculations!I116/1000</f>
        <v>0.99907409126678381</v>
      </c>
      <c r="T26" s="366">
        <v>0</v>
      </c>
      <c r="V26" s="239">
        <v>23</v>
      </c>
      <c r="W26" s="360">
        <f>Calculations!J116/1000</f>
        <v>1.6912584671647735</v>
      </c>
      <c r="X26" s="362">
        <f>Calculations!K116/1000</f>
        <v>1.049074021253894</v>
      </c>
      <c r="Y26" s="366">
        <v>0</v>
      </c>
      <c r="AA26" s="375"/>
    </row>
    <row r="27" spans="2:27" x14ac:dyDescent="0.25">
      <c r="B27" s="239">
        <v>24</v>
      </c>
      <c r="C27" s="300">
        <f>Calculations!L117/1000</f>
        <v>1.4345226646588949</v>
      </c>
      <c r="D27" s="360">
        <f>Calculations!M117/1000</f>
        <v>0.43113768194676411</v>
      </c>
      <c r="E27" s="366">
        <v>0</v>
      </c>
      <c r="G27" s="239">
        <v>24</v>
      </c>
      <c r="H27" s="300">
        <f>Calculations!D117/1000</f>
        <v>1.6898778515089647</v>
      </c>
      <c r="I27" s="360">
        <f>Calculations!E117/1000</f>
        <v>0.47392288322134912</v>
      </c>
      <c r="J27" s="366">
        <v>0</v>
      </c>
      <c r="L27" s="239">
        <v>24</v>
      </c>
      <c r="M27" s="300">
        <f>Calculations!F117/1000</f>
        <v>1.6899615251850744</v>
      </c>
      <c r="N27" s="360">
        <f>Calculations!G117/1000</f>
        <v>0.52392281320845935</v>
      </c>
      <c r="O27" s="366">
        <v>0</v>
      </c>
      <c r="Q27" s="239">
        <v>24</v>
      </c>
      <c r="R27" s="300">
        <f>Calculations!H117/1000</f>
        <v>1.6898778515089647</v>
      </c>
      <c r="S27" s="360">
        <f>Calculations!I117/1000</f>
        <v>0.22407517646657515</v>
      </c>
      <c r="T27" s="366">
        <v>0</v>
      </c>
      <c r="V27" s="239">
        <v>24</v>
      </c>
      <c r="W27" s="360">
        <f>Calculations!J117/1000</f>
        <v>1.6899615251850744</v>
      </c>
      <c r="X27" s="362">
        <f>Calculations!K117/1000</f>
        <v>0.27407510645368538</v>
      </c>
      <c r="Y27" s="366">
        <v>0</v>
      </c>
      <c r="AA27" s="375"/>
    </row>
    <row r="28" spans="2:27" x14ac:dyDescent="0.25">
      <c r="B28" s="239">
        <v>25</v>
      </c>
      <c r="C28" s="300">
        <f>Calculations!L118/1000</f>
        <v>1.2123998689424478</v>
      </c>
      <c r="D28" s="360">
        <f>Calculations!M118/1000</f>
        <v>0.22912168351320095</v>
      </c>
      <c r="E28" s="366">
        <v>0</v>
      </c>
      <c r="G28" s="239">
        <v>25</v>
      </c>
      <c r="H28" s="300">
        <f>Calculations!D118/1000</f>
        <v>1.4595551931784752</v>
      </c>
      <c r="I28" s="360">
        <f>Calculations!E118/1000</f>
        <v>0.28130805238120771</v>
      </c>
      <c r="J28" s="366">
        <v>0</v>
      </c>
      <c r="L28" s="239">
        <v>25</v>
      </c>
      <c r="M28" s="300">
        <f>Calculations!F118/1000</f>
        <v>1.4596388668545845</v>
      </c>
      <c r="N28" s="360">
        <f>Calculations!G118/1000</f>
        <v>0.33130798236831793</v>
      </c>
      <c r="O28" s="366">
        <v>0</v>
      </c>
      <c r="Q28" s="239">
        <v>25</v>
      </c>
      <c r="R28" s="300">
        <f>Calculations!H118/1000</f>
        <v>1.4595551931784752</v>
      </c>
      <c r="S28" s="360">
        <f>Calculations!I118/1000</f>
        <v>3.1460345626433767E-2</v>
      </c>
      <c r="T28" s="366">
        <v>0</v>
      </c>
      <c r="V28" s="239">
        <v>25</v>
      </c>
      <c r="W28" s="360">
        <f>Calculations!J118/1000</f>
        <v>1.4596388668545845</v>
      </c>
      <c r="X28" s="362">
        <f>Calculations!K118/1000</f>
        <v>8.146027561354402E-2</v>
      </c>
      <c r="Y28" s="366">
        <v>0</v>
      </c>
      <c r="AA28" s="375"/>
    </row>
    <row r="29" spans="2:27" x14ac:dyDescent="0.25">
      <c r="B29" s="239">
        <v>26</v>
      </c>
      <c r="C29" s="300">
        <f>Calculations!L119/1000</f>
        <v>0.93262247152828925</v>
      </c>
      <c r="D29" s="360">
        <f>Calculations!M119/1000</f>
        <v>0.21795889281552649</v>
      </c>
      <c r="E29" s="366">
        <v>0</v>
      </c>
      <c r="G29" s="239">
        <v>26</v>
      </c>
      <c r="H29" s="300">
        <f>Calculations!D119/1000</f>
        <v>1.1795555852506574</v>
      </c>
      <c r="I29" s="360">
        <f>Calculations!E119/1000</f>
        <v>0.28177662496742145</v>
      </c>
      <c r="J29" s="366">
        <v>0</v>
      </c>
      <c r="L29" s="239">
        <v>26</v>
      </c>
      <c r="M29" s="300">
        <f>Calculations!F119/1000</f>
        <v>1.179639258926767</v>
      </c>
      <c r="N29" s="360">
        <f>Calculations!G119/1000</f>
        <v>0.33177655495453173</v>
      </c>
      <c r="O29" s="366">
        <v>0</v>
      </c>
      <c r="Q29" s="239">
        <v>26</v>
      </c>
      <c r="R29" s="300">
        <f>Calculations!H119/1000</f>
        <v>1.1795555852506574</v>
      </c>
      <c r="S29" s="360">
        <f>Calculations!I119/1000</f>
        <v>3.1928918212647546E-2</v>
      </c>
      <c r="T29" s="366">
        <v>0</v>
      </c>
      <c r="V29" s="239">
        <v>26</v>
      </c>
      <c r="W29" s="360">
        <f>Calculations!J119/1000</f>
        <v>1.179639258926767</v>
      </c>
      <c r="X29" s="362">
        <f>Calculations!K119/1000</f>
        <v>8.1928848199757792E-2</v>
      </c>
      <c r="Y29" s="366">
        <v>0</v>
      </c>
      <c r="AA29" s="375"/>
    </row>
    <row r="30" spans="2:27" x14ac:dyDescent="0.25">
      <c r="B30" s="239">
        <v>27</v>
      </c>
      <c r="C30" s="300">
        <f>Calculations!L120/1000</f>
        <v>0.93868227219274103</v>
      </c>
      <c r="D30" s="360">
        <f>Calculations!M120/1000</f>
        <v>6.6079734219269104E-2</v>
      </c>
      <c r="E30" s="366">
        <v>0</v>
      </c>
      <c r="G30" s="239">
        <v>27</v>
      </c>
      <c r="H30" s="300">
        <f>Calculations!D120/1000</f>
        <v>1.1793012172752841</v>
      </c>
      <c r="I30" s="360">
        <f>Calculations!E120/1000</f>
        <v>0.1297768378066064</v>
      </c>
      <c r="J30" s="366">
        <v>0</v>
      </c>
      <c r="L30" s="239">
        <v>27</v>
      </c>
      <c r="M30" s="300">
        <f>Calculations!F120/1000</f>
        <v>1.1793848909513938</v>
      </c>
      <c r="N30" s="360">
        <f>Calculations!G120/1000</f>
        <v>0.17977676779371665</v>
      </c>
      <c r="O30" s="366">
        <v>0</v>
      </c>
      <c r="Q30" s="239">
        <v>27</v>
      </c>
      <c r="R30" s="300">
        <f>Calculations!H120/1000</f>
        <v>1.1793012172752841</v>
      </c>
      <c r="S30" s="360">
        <f>Calculations!I120/1000</f>
        <v>-0.12007086894816757</v>
      </c>
      <c r="T30" s="366">
        <v>0</v>
      </c>
      <c r="V30" s="239">
        <v>27</v>
      </c>
      <c r="W30" s="360">
        <f>Calculations!J120/1000</f>
        <v>1.1793848909513938</v>
      </c>
      <c r="X30" s="362">
        <f>Calculations!K120/1000</f>
        <v>-7.0070938961057316E-2</v>
      </c>
      <c r="Y30" s="366">
        <v>0</v>
      </c>
      <c r="AA30" s="375"/>
    </row>
    <row r="31" spans="2:27" ht="12" thickBot="1" x14ac:dyDescent="0.3">
      <c r="B31" s="240">
        <v>28</v>
      </c>
      <c r="C31" s="300">
        <f>Calculations!L121/1000</f>
        <v>0.67788976960311498</v>
      </c>
      <c r="D31" s="361">
        <f>Calculations!M121/1000</f>
        <v>5.5674418604651159E-2</v>
      </c>
      <c r="E31" s="367">
        <v>0</v>
      </c>
      <c r="G31" s="240">
        <v>28</v>
      </c>
      <c r="H31" s="300">
        <f>Calculations!D121/1000</f>
        <v>0.91830158274256879</v>
      </c>
      <c r="I31" s="361">
        <f>Calculations!E121/1000</f>
        <v>0.13021361439589862</v>
      </c>
      <c r="J31" s="367">
        <v>0</v>
      </c>
      <c r="L31" s="240">
        <v>28</v>
      </c>
      <c r="M31" s="359">
        <f>Calculations!F121/1000</f>
        <v>0.91838525641867841</v>
      </c>
      <c r="N31" s="361">
        <f>Calculations!G121/1000</f>
        <v>0.18021354438300888</v>
      </c>
      <c r="O31" s="367">
        <v>0</v>
      </c>
      <c r="Q31" s="240">
        <v>28</v>
      </c>
      <c r="R31" s="359">
        <f>Calculations!H121/1000</f>
        <v>0.91830158274256879</v>
      </c>
      <c r="S31" s="361">
        <f>Calculations!I121/1000</f>
        <v>-0.11963409235887525</v>
      </c>
      <c r="T31" s="367">
        <v>0</v>
      </c>
      <c r="V31" s="240">
        <v>28</v>
      </c>
      <c r="W31" s="361">
        <f>Calculations!J121/1000</f>
        <v>0.91838525641867841</v>
      </c>
      <c r="X31" s="372">
        <f>Calculations!K121/1000</f>
        <v>-6.9634162371765007E-2</v>
      </c>
      <c r="Y31" s="367">
        <v>0</v>
      </c>
      <c r="AA31" s="375"/>
    </row>
    <row r="32" spans="2:27" s="375" customFormat="1" ht="12" thickBot="1" x14ac:dyDescent="0.3">
      <c r="B32" s="377"/>
      <c r="C32" s="377"/>
      <c r="D32" s="377"/>
      <c r="E32" s="377"/>
      <c r="G32" s="377"/>
      <c r="H32" s="377"/>
      <c r="I32" s="377"/>
      <c r="J32" s="377"/>
      <c r="K32" s="374"/>
    </row>
    <row r="33" spans="1:32" ht="12" thickBot="1" x14ac:dyDescent="0.3">
      <c r="A33" s="378"/>
      <c r="B33" s="455" t="s">
        <v>73</v>
      </c>
      <c r="C33" s="456"/>
      <c r="D33" s="456"/>
      <c r="E33" s="457"/>
      <c r="F33" s="376"/>
      <c r="G33" s="456" t="s">
        <v>151</v>
      </c>
      <c r="H33" s="456"/>
      <c r="I33" s="456"/>
      <c r="J33" s="457"/>
      <c r="L33" s="375"/>
      <c r="M33" s="375"/>
      <c r="N33" s="375"/>
      <c r="O33" s="375"/>
      <c r="Q33" s="375"/>
      <c r="R33" s="375"/>
      <c r="S33" s="375"/>
      <c r="T33" s="375"/>
      <c r="V33" s="375"/>
      <c r="W33" s="375"/>
      <c r="X33" s="375"/>
      <c r="Y33" s="375"/>
      <c r="AA33" s="375"/>
    </row>
    <row r="34" spans="1:32" x14ac:dyDescent="0.25">
      <c r="A34" s="378"/>
      <c r="B34" s="291" t="s">
        <v>16</v>
      </c>
      <c r="C34" s="364" t="s">
        <v>17</v>
      </c>
      <c r="D34" s="291" t="s">
        <v>18</v>
      </c>
      <c r="E34" s="292" t="s">
        <v>156</v>
      </c>
      <c r="F34" s="376"/>
      <c r="G34" s="293" t="s">
        <v>16</v>
      </c>
      <c r="H34" s="363" t="s">
        <v>17</v>
      </c>
      <c r="I34" s="293" t="s">
        <v>18</v>
      </c>
      <c r="J34" s="294" t="s">
        <v>156</v>
      </c>
      <c r="L34" s="375"/>
      <c r="M34" s="375"/>
      <c r="N34" s="375"/>
      <c r="O34" s="375"/>
      <c r="Q34" s="375"/>
      <c r="R34" s="375"/>
      <c r="S34" s="375"/>
      <c r="T34" s="375"/>
      <c r="V34" s="375"/>
      <c r="W34" s="375"/>
      <c r="X34" s="375"/>
      <c r="Y34" s="375"/>
      <c r="AA34" s="375"/>
      <c r="AF34">
        <v>1</v>
      </c>
    </row>
    <row r="35" spans="1:32" x14ac:dyDescent="0.25">
      <c r="A35" s="378"/>
      <c r="B35" s="239">
        <v>1</v>
      </c>
      <c r="C35" s="368">
        <f>Calculations!H126/1000</f>
        <v>-2.3800033944809216</v>
      </c>
      <c r="D35" s="369">
        <f>Calculations!I126/1000</f>
        <v>0</v>
      </c>
      <c r="E35" s="366">
        <v>0</v>
      </c>
      <c r="F35" s="376"/>
      <c r="G35" s="239">
        <v>1</v>
      </c>
      <c r="H35" s="300">
        <f>Calculations!D126/1000</f>
        <v>0.71635916174756176</v>
      </c>
      <c r="I35" s="360">
        <f>Calculations!E126/1000</f>
        <v>5.7209302325581399E-2</v>
      </c>
      <c r="J35" s="258">
        <v>0</v>
      </c>
      <c r="L35" s="375"/>
      <c r="M35" s="375"/>
      <c r="N35" s="375"/>
      <c r="O35" s="375"/>
      <c r="Q35" s="375"/>
      <c r="R35" s="375"/>
      <c r="S35" s="375"/>
      <c r="T35" s="375"/>
      <c r="V35" s="375"/>
      <c r="W35" s="375"/>
      <c r="X35" s="375"/>
      <c r="Y35" s="375"/>
      <c r="AA35" s="375"/>
    </row>
    <row r="36" spans="1:32" ht="12" thickBot="1" x14ac:dyDescent="0.3">
      <c r="A36" s="378"/>
      <c r="B36" s="239">
        <v>2</v>
      </c>
      <c r="C36" s="368">
        <f>Calculations!H127/1000</f>
        <v>-2.3800033944809216</v>
      </c>
      <c r="D36" s="369">
        <f>Calculations!I127/1000</f>
        <v>3.8</v>
      </c>
      <c r="E36" s="366">
        <v>0</v>
      </c>
      <c r="F36" s="376"/>
      <c r="G36" s="240">
        <v>2</v>
      </c>
      <c r="H36" s="359">
        <f>Calculations!D127/1000</f>
        <v>-0.71750000000000003</v>
      </c>
      <c r="I36" s="361">
        <f>Calculations!E127/1000</f>
        <v>0</v>
      </c>
      <c r="J36" s="260">
        <v>0</v>
      </c>
      <c r="L36" s="375"/>
      <c r="M36" s="375"/>
      <c r="N36" s="375"/>
      <c r="O36" s="375"/>
      <c r="Q36" s="375"/>
      <c r="R36" s="375"/>
      <c r="S36" s="375"/>
      <c r="T36" s="375"/>
      <c r="V36" s="375"/>
      <c r="W36" s="375"/>
      <c r="X36" s="375"/>
      <c r="Y36" s="375"/>
      <c r="AA36" s="375"/>
    </row>
    <row r="37" spans="1:32" x14ac:dyDescent="0.25">
      <c r="A37" s="378"/>
      <c r="B37" s="239">
        <v>3</v>
      </c>
      <c r="C37" s="368">
        <f>Calculations!H128/1000</f>
        <v>-1.884390154062803</v>
      </c>
      <c r="D37" s="369">
        <f>Calculations!I128/1000</f>
        <v>4.742</v>
      </c>
      <c r="E37" s="366">
        <v>0</v>
      </c>
      <c r="G37" s="375"/>
      <c r="H37" s="375"/>
      <c r="I37" s="375"/>
      <c r="J37" s="375"/>
      <c r="L37" s="375"/>
      <c r="M37" s="375"/>
      <c r="N37" s="375"/>
      <c r="O37" s="375"/>
      <c r="Q37" s="375"/>
      <c r="R37" s="375"/>
      <c r="S37" s="375"/>
      <c r="T37" s="375"/>
      <c r="V37" s="375"/>
      <c r="W37" s="375"/>
      <c r="X37" s="375"/>
      <c r="Y37" s="375"/>
      <c r="AA37" s="375"/>
    </row>
    <row r="38" spans="1:32" x14ac:dyDescent="0.25">
      <c r="A38" s="378"/>
      <c r="B38" s="239">
        <v>4</v>
      </c>
      <c r="C38" s="368">
        <f>Calculations!H129/1000</f>
        <v>1.4878466000558346</v>
      </c>
      <c r="D38" s="369">
        <f>Calculations!I129/1000</f>
        <v>4.742</v>
      </c>
      <c r="E38" s="366">
        <v>0</v>
      </c>
      <c r="G38" s="375"/>
      <c r="H38" s="375"/>
      <c r="I38" s="375"/>
      <c r="J38" s="375"/>
      <c r="L38" s="375"/>
      <c r="M38" s="375"/>
      <c r="N38" s="375"/>
      <c r="O38" s="375"/>
      <c r="Q38" s="375"/>
      <c r="R38" s="375"/>
      <c r="S38" s="375"/>
      <c r="T38" s="375"/>
      <c r="V38" s="375"/>
      <c r="W38" s="375"/>
      <c r="X38" s="375"/>
      <c r="Y38" s="375"/>
      <c r="AA38" s="375"/>
    </row>
    <row r="39" spans="1:32" x14ac:dyDescent="0.25">
      <c r="A39" s="378"/>
      <c r="B39" s="239">
        <v>5</v>
      </c>
      <c r="C39" s="368">
        <f>Calculations!H130/1000</f>
        <v>2.062233359637716</v>
      </c>
      <c r="D39" s="369">
        <f>Calculations!I130/1000</f>
        <v>3.8</v>
      </c>
      <c r="E39" s="366">
        <v>0</v>
      </c>
      <c r="G39" s="375"/>
      <c r="H39" s="375"/>
      <c r="I39" s="375"/>
      <c r="J39" s="375"/>
      <c r="L39" s="375"/>
      <c r="M39" s="375"/>
      <c r="N39" s="375"/>
      <c r="O39" s="375"/>
      <c r="Q39" s="375"/>
      <c r="R39" s="375"/>
      <c r="S39" s="375"/>
      <c r="T39" s="375"/>
      <c r="V39" s="375"/>
      <c r="W39" s="375"/>
      <c r="X39" s="375"/>
      <c r="Y39" s="375"/>
      <c r="AA39" s="375"/>
    </row>
    <row r="40" spans="1:32" ht="12" thickBot="1" x14ac:dyDescent="0.3">
      <c r="A40" s="378"/>
      <c r="B40" s="240">
        <v>6</v>
      </c>
      <c r="C40" s="370">
        <f>Calculations!H131/1000</f>
        <v>2.062233359637716</v>
      </c>
      <c r="D40" s="371">
        <f>Calculations!I131/1000</f>
        <v>0</v>
      </c>
      <c r="E40" s="367">
        <v>0</v>
      </c>
      <c r="G40" s="375"/>
      <c r="H40" s="375"/>
      <c r="I40" s="375"/>
      <c r="J40" s="375"/>
      <c r="L40" s="375"/>
      <c r="M40" s="375"/>
      <c r="N40" s="375"/>
      <c r="O40" s="375"/>
      <c r="Q40" s="375"/>
      <c r="R40" s="375"/>
      <c r="S40" s="375"/>
      <c r="T40" s="375"/>
      <c r="V40" s="375"/>
      <c r="W40" s="375"/>
      <c r="X40" s="375"/>
      <c r="Y40" s="375"/>
      <c r="AA40" s="375"/>
    </row>
    <row r="41" spans="1:32" x14ac:dyDescent="0.25">
      <c r="B41" s="375"/>
      <c r="C41" s="375"/>
      <c r="D41" s="375"/>
      <c r="E41" s="375"/>
      <c r="G41" s="375"/>
      <c r="H41" s="375"/>
      <c r="I41" s="375"/>
      <c r="J41" s="375"/>
      <c r="L41" s="375"/>
      <c r="M41" s="375"/>
      <c r="N41" s="375"/>
      <c r="O41" s="375"/>
      <c r="Q41" s="375"/>
      <c r="R41" s="375"/>
      <c r="S41" s="375"/>
      <c r="T41" s="375"/>
      <c r="V41" s="375"/>
      <c r="W41" s="375"/>
      <c r="X41" s="375"/>
      <c r="Y41" s="375"/>
      <c r="AA41" s="375"/>
    </row>
    <row r="42" spans="1:32" x14ac:dyDescent="0.25">
      <c r="B42" s="375"/>
      <c r="C42" s="375"/>
      <c r="D42" s="375"/>
      <c r="E42" s="375"/>
      <c r="G42" s="375"/>
      <c r="H42" s="375"/>
      <c r="I42" s="375"/>
      <c r="J42" s="375"/>
      <c r="L42" s="375"/>
      <c r="M42" s="375"/>
      <c r="N42" s="375"/>
      <c r="O42" s="375"/>
      <c r="Q42" s="375"/>
      <c r="R42" s="375"/>
      <c r="S42" s="375"/>
      <c r="T42" s="375"/>
      <c r="V42" s="375"/>
      <c r="W42" s="375"/>
      <c r="X42" s="375"/>
      <c r="Y42" s="375"/>
      <c r="AA42" s="375"/>
    </row>
    <row r="43" spans="1:32" x14ac:dyDescent="0.25">
      <c r="B43" s="375"/>
      <c r="C43" s="375"/>
      <c r="D43" s="375"/>
      <c r="E43" s="375"/>
      <c r="G43" s="375"/>
      <c r="H43" s="375"/>
      <c r="I43" s="375"/>
      <c r="J43" s="375"/>
      <c r="L43" s="375"/>
      <c r="M43" s="375"/>
      <c r="N43" s="375"/>
      <c r="O43" s="375"/>
      <c r="Q43" s="375"/>
      <c r="R43" s="375"/>
      <c r="S43" s="375"/>
      <c r="T43" s="375"/>
      <c r="V43" s="375"/>
      <c r="W43" s="375"/>
      <c r="X43" s="375"/>
      <c r="Y43" s="375"/>
      <c r="AA43" s="375"/>
    </row>
    <row r="44" spans="1:32" x14ac:dyDescent="0.25">
      <c r="B44" s="375"/>
      <c r="C44" s="375"/>
      <c r="D44" s="375"/>
      <c r="E44" s="375"/>
      <c r="G44" s="375"/>
      <c r="H44" s="375"/>
      <c r="I44" s="375"/>
      <c r="J44" s="375"/>
      <c r="L44" s="375"/>
      <c r="M44" s="375"/>
      <c r="N44" s="375"/>
      <c r="O44" s="375"/>
      <c r="Q44" s="375"/>
      <c r="R44" s="375"/>
      <c r="S44" s="375"/>
      <c r="T44" s="375"/>
      <c r="V44" s="375"/>
      <c r="W44" s="375"/>
      <c r="X44" s="375"/>
      <c r="Y44" s="375"/>
      <c r="AA44" s="375"/>
    </row>
    <row r="45" spans="1:32" x14ac:dyDescent="0.25">
      <c r="B45" s="375"/>
      <c r="C45" s="375"/>
      <c r="D45" s="375"/>
      <c r="E45" s="375"/>
      <c r="G45" s="375"/>
      <c r="H45" s="375"/>
      <c r="I45" s="375"/>
      <c r="J45" s="375"/>
      <c r="L45" s="375"/>
      <c r="M45" s="375"/>
      <c r="N45" s="375"/>
      <c r="O45" s="375"/>
      <c r="Q45" s="375"/>
      <c r="R45" s="375"/>
      <c r="S45" s="375"/>
      <c r="T45" s="375"/>
      <c r="V45" s="375"/>
      <c r="W45" s="375"/>
      <c r="X45" s="375"/>
      <c r="Y45" s="375"/>
      <c r="AA45" s="375"/>
    </row>
    <row r="46" spans="1:32" x14ac:dyDescent="0.25">
      <c r="B46" s="375"/>
      <c r="C46" s="375"/>
      <c r="D46" s="375"/>
      <c r="E46" s="375"/>
      <c r="G46" s="375"/>
      <c r="H46" s="375"/>
      <c r="I46" s="375"/>
      <c r="J46" s="375"/>
      <c r="L46" s="375"/>
      <c r="M46" s="375"/>
      <c r="N46" s="375"/>
      <c r="O46" s="375"/>
      <c r="Q46" s="375"/>
      <c r="R46" s="375"/>
      <c r="S46" s="375"/>
      <c r="T46" s="375"/>
      <c r="V46" s="375"/>
      <c r="W46" s="375"/>
      <c r="X46" s="375"/>
      <c r="Y46" s="375"/>
      <c r="AA46" s="375"/>
    </row>
    <row r="47" spans="1:32" x14ac:dyDescent="0.25">
      <c r="B47" s="375"/>
      <c r="C47" s="375"/>
      <c r="D47" s="375"/>
      <c r="E47" s="375"/>
      <c r="G47" s="375"/>
      <c r="H47" s="375"/>
      <c r="I47" s="375"/>
      <c r="J47" s="375"/>
      <c r="L47" s="375"/>
      <c r="M47" s="375"/>
      <c r="N47" s="375"/>
      <c r="O47" s="375"/>
      <c r="Q47" s="375"/>
      <c r="R47" s="375"/>
      <c r="S47" s="375"/>
      <c r="T47" s="375"/>
      <c r="V47" s="375"/>
      <c r="W47" s="375"/>
      <c r="X47" s="375"/>
      <c r="Y47" s="375"/>
      <c r="AA47" s="375"/>
    </row>
    <row r="48" spans="1:32" x14ac:dyDescent="0.25">
      <c r="B48" s="375"/>
      <c r="C48" s="375"/>
      <c r="D48" s="375"/>
      <c r="E48" s="375"/>
      <c r="G48" s="375"/>
      <c r="H48" s="375"/>
      <c r="I48" s="375"/>
      <c r="J48" s="375"/>
      <c r="L48" s="375"/>
      <c r="M48" s="375"/>
      <c r="N48" s="375"/>
      <c r="O48" s="375"/>
      <c r="Q48" s="375"/>
      <c r="R48" s="375"/>
      <c r="S48" s="375"/>
      <c r="T48" s="375"/>
      <c r="V48" s="375"/>
      <c r="W48" s="375"/>
      <c r="X48" s="375"/>
      <c r="Y48" s="375"/>
      <c r="AA48" s="375"/>
    </row>
    <row r="50" spans="3:24" x14ac:dyDescent="0.25">
      <c r="C50" s="14" t="s">
        <v>199</v>
      </c>
      <c r="H50" s="98">
        <f>MAX(H4:H31)</f>
        <v>1.7302914893442338</v>
      </c>
      <c r="M50" s="98">
        <f>MAX(M4:M31)</f>
        <v>1.7303751630203434</v>
      </c>
      <c r="R50" s="98">
        <f>MAX(R4:R31)</f>
        <v>1.7302914893442338</v>
      </c>
      <c r="W50" s="98">
        <f>MAX(W4:W31)</f>
        <v>1.7303751630203434</v>
      </c>
    </row>
    <row r="51" spans="3:24" x14ac:dyDescent="0.25">
      <c r="C51" s="14" t="s">
        <v>200</v>
      </c>
      <c r="H51" s="98">
        <f>MIN(H4:H31)</f>
        <v>-2.0136579363619607</v>
      </c>
      <c r="M51" s="98">
        <f>MIN(M4:M31)</f>
        <v>-2.0177248799718956</v>
      </c>
      <c r="R51" s="98">
        <f>MIN(R4:R31)</f>
        <v>-2.0136579363619607</v>
      </c>
      <c r="W51" s="98">
        <f>MIN(W4:W31)</f>
        <v>-2.0177248799718956</v>
      </c>
    </row>
    <row r="52" spans="3:24" x14ac:dyDescent="0.25">
      <c r="C52" s="14" t="s">
        <v>204</v>
      </c>
      <c r="I52" s="98">
        <f>MAX(I4:I31)</f>
        <v>4.4013439238166816</v>
      </c>
      <c r="J52" s="98"/>
      <c r="K52" s="385"/>
      <c r="L52" s="98"/>
      <c r="M52" s="98"/>
      <c r="N52" s="98">
        <f>MAX(N4:N31)</f>
        <v>4.4513438538037926</v>
      </c>
      <c r="O52" s="98"/>
      <c r="P52" s="386"/>
      <c r="Q52" s="98"/>
      <c r="R52" s="98"/>
      <c r="S52" s="98">
        <f>MAX(S4:S31)</f>
        <v>4.151496217061907</v>
      </c>
      <c r="T52" s="98"/>
      <c r="U52" s="386"/>
      <c r="V52" s="98"/>
      <c r="W52" s="98"/>
      <c r="X52" s="98">
        <f>MAX(X4:X31)</f>
        <v>4.201496147049018</v>
      </c>
    </row>
    <row r="53" spans="3:24" x14ac:dyDescent="0.25">
      <c r="I53" s="302"/>
      <c r="N53" s="302"/>
      <c r="S53" s="302"/>
      <c r="X53" s="302"/>
    </row>
    <row r="54" spans="3:24" x14ac:dyDescent="0.25">
      <c r="C54" s="14" t="s">
        <v>202</v>
      </c>
      <c r="H54" s="98">
        <f>MAX(H50,M50,R50,W50)</f>
        <v>1.7303751630203434</v>
      </c>
    </row>
    <row r="55" spans="3:24" x14ac:dyDescent="0.25">
      <c r="C55" s="14" t="s">
        <v>203</v>
      </c>
      <c r="H55" s="98">
        <f>MIN(H51,M51,R51,W51)</f>
        <v>-2.0177248799718956</v>
      </c>
    </row>
    <row r="56" spans="3:24" x14ac:dyDescent="0.25">
      <c r="C56" s="14" t="s">
        <v>205</v>
      </c>
      <c r="H56" s="98">
        <f>MAX(I52,N52,S52,X52)</f>
        <v>4.4513438538037926</v>
      </c>
    </row>
    <row r="58" spans="3:24" x14ac:dyDescent="0.25">
      <c r="C58" s="14" t="s">
        <v>209</v>
      </c>
      <c r="H58" s="98">
        <f>MIN(C35:C40)</f>
        <v>-2.3800033944809216</v>
      </c>
    </row>
    <row r="59" spans="3:24" x14ac:dyDescent="0.25">
      <c r="C59" s="14" t="s">
        <v>210</v>
      </c>
      <c r="H59" s="98">
        <f>MAX(C35:C40)</f>
        <v>2.062233359637716</v>
      </c>
    </row>
    <row r="60" spans="3:24" x14ac:dyDescent="0.25">
      <c r="C60" s="14" t="s">
        <v>211</v>
      </c>
      <c r="H60" s="98">
        <f>MAX(D35:D40)</f>
        <v>4.742</v>
      </c>
    </row>
  </sheetData>
  <mergeCells count="7">
    <mergeCell ref="B33:E33"/>
    <mergeCell ref="G33:J33"/>
    <mergeCell ref="Q2:T2"/>
    <mergeCell ref="V2:Y2"/>
    <mergeCell ref="B2:E2"/>
    <mergeCell ref="G2:J2"/>
    <mergeCell ref="L2:O2"/>
  </mergeCells>
  <pageMargins left="0.7" right="0.7" top="0.75" bottom="0.75" header="0.3" footer="0.3"/>
  <pageSetup orientation="portrait" horizontalDpi="4294967293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AD93"/>
  <sheetViews>
    <sheetView tabSelected="1" topLeftCell="I13" zoomScale="145" zoomScaleNormal="145" workbookViewId="0">
      <selection activeCell="P34" sqref="P34"/>
    </sheetView>
  </sheetViews>
  <sheetFormatPr defaultRowHeight="11.5" x14ac:dyDescent="0.25"/>
  <cols>
    <col min="1" max="1" width="39.8984375" customWidth="1"/>
    <col min="2" max="2" width="22" bestFit="1" customWidth="1"/>
    <col min="3" max="3" width="27.09765625" customWidth="1"/>
    <col min="4" max="4" width="28" bestFit="1" customWidth="1"/>
    <col min="5" max="5" width="29" customWidth="1"/>
    <col min="6" max="6" width="28.69921875" customWidth="1"/>
    <col min="7" max="7" width="16.8984375" customWidth="1"/>
    <col min="8" max="8" width="15.296875" bestFit="1" customWidth="1"/>
  </cols>
  <sheetData>
    <row r="2" spans="1:30" x14ac:dyDescent="0.25">
      <c r="A2" s="1"/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</row>
    <row r="3" spans="1:30" ht="12.5" x14ac:dyDescent="0.25">
      <c r="A3" s="2" t="s">
        <v>1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24"/>
      <c r="Q3" s="3">
        <v>15</v>
      </c>
      <c r="R3" s="3">
        <v>16</v>
      </c>
      <c r="S3" s="3">
        <v>17</v>
      </c>
      <c r="T3" s="3">
        <v>18</v>
      </c>
      <c r="U3" s="3">
        <v>19</v>
      </c>
      <c r="V3" s="3">
        <v>20</v>
      </c>
      <c r="W3" s="3">
        <v>21</v>
      </c>
      <c r="X3" s="3">
        <v>22</v>
      </c>
      <c r="Y3" s="3">
        <v>23</v>
      </c>
      <c r="Z3" s="3">
        <v>24</v>
      </c>
      <c r="AA3" s="3">
        <v>25</v>
      </c>
      <c r="AB3" s="3">
        <v>26</v>
      </c>
      <c r="AC3" s="3">
        <v>27</v>
      </c>
      <c r="AD3" s="4" t="s">
        <v>2</v>
      </c>
    </row>
    <row r="4" spans="1:30" x14ac:dyDescent="0.25">
      <c r="A4" s="480" t="s">
        <v>3</v>
      </c>
      <c r="B4" s="5">
        <v>-679</v>
      </c>
      <c r="C4" s="5">
        <v>-679</v>
      </c>
      <c r="D4" s="5">
        <v>-940</v>
      </c>
      <c r="E4" s="5">
        <v>-940</v>
      </c>
      <c r="F4" s="5">
        <v>-1220</v>
      </c>
      <c r="G4" s="5">
        <v>-1450</v>
      </c>
      <c r="H4" s="5">
        <v>-1450</v>
      </c>
      <c r="I4" s="5">
        <v>-1485</v>
      </c>
      <c r="J4" s="5">
        <v>-1485</v>
      </c>
      <c r="K4" s="5">
        <v>-1250</v>
      </c>
      <c r="L4" s="5">
        <v>-1065</v>
      </c>
      <c r="M4" s="5">
        <v>-760</v>
      </c>
      <c r="N4" s="5">
        <v>-455</v>
      </c>
      <c r="O4" s="5">
        <v>0</v>
      </c>
      <c r="P4" s="5">
        <v>0</v>
      </c>
      <c r="Q4" s="6">
        <f>-N4</f>
        <v>455</v>
      </c>
      <c r="R4" s="6">
        <f>-M4</f>
        <v>760</v>
      </c>
      <c r="S4" s="6">
        <f>-L4</f>
        <v>1065</v>
      </c>
      <c r="T4" s="6">
        <f>-K4</f>
        <v>1250</v>
      </c>
      <c r="U4" s="6">
        <f>-J4</f>
        <v>1485</v>
      </c>
      <c r="V4" s="6">
        <f>-I4</f>
        <v>1485</v>
      </c>
      <c r="W4" s="6">
        <f>-H4</f>
        <v>1450</v>
      </c>
      <c r="X4" s="6">
        <f>-G4</f>
        <v>1450</v>
      </c>
      <c r="Y4" s="6">
        <f>-F4</f>
        <v>1220</v>
      </c>
      <c r="Z4" s="6">
        <f>-E4</f>
        <v>940</v>
      </c>
      <c r="AA4" s="6">
        <f>-D4</f>
        <v>940</v>
      </c>
      <c r="AB4" s="6">
        <f>-C4</f>
        <v>679</v>
      </c>
      <c r="AC4" s="6">
        <f>-B4</f>
        <v>679</v>
      </c>
      <c r="AD4" s="8">
        <f>MAX(B4:AC4)</f>
        <v>1485</v>
      </c>
    </row>
    <row r="5" spans="1:30" x14ac:dyDescent="0.25">
      <c r="A5" s="480" t="s">
        <v>4</v>
      </c>
      <c r="B5" s="5">
        <v>-679</v>
      </c>
      <c r="C5" s="5">
        <v>-679</v>
      </c>
      <c r="D5" s="5">
        <v>-940</v>
      </c>
      <c r="E5" s="5">
        <v>-940</v>
      </c>
      <c r="F5" s="5">
        <v>-1450</v>
      </c>
      <c r="G5" s="5">
        <v>-1450</v>
      </c>
      <c r="H5" s="5">
        <v>-1485</v>
      </c>
      <c r="I5" s="5">
        <v>-1485</v>
      </c>
      <c r="J5" s="5">
        <v>-1250</v>
      </c>
      <c r="K5" s="5">
        <v>-1065</v>
      </c>
      <c r="L5" s="5">
        <v>-760</v>
      </c>
      <c r="M5" s="5">
        <v>-455</v>
      </c>
      <c r="N5" s="5">
        <v>0</v>
      </c>
      <c r="O5" s="5">
        <v>0</v>
      </c>
      <c r="P5" s="5">
        <v>0</v>
      </c>
      <c r="Q5" s="6">
        <f t="shared" ref="Q5:Q15" si="0">-N5</f>
        <v>0</v>
      </c>
      <c r="R5" s="6">
        <f t="shared" ref="R5:R15" si="1">-M5</f>
        <v>455</v>
      </c>
      <c r="S5" s="6">
        <f t="shared" ref="S5:S15" si="2">-L5</f>
        <v>760</v>
      </c>
      <c r="T5" s="6">
        <f t="shared" ref="T5:T15" si="3">-K5</f>
        <v>1065</v>
      </c>
      <c r="U5" s="6">
        <f t="shared" ref="U5:U15" si="4">-J5</f>
        <v>1250</v>
      </c>
      <c r="V5" s="6">
        <f t="shared" ref="V5:V15" si="5">-I5</f>
        <v>1485</v>
      </c>
      <c r="W5" s="6">
        <f t="shared" ref="W5:W15" si="6">-H5</f>
        <v>1485</v>
      </c>
      <c r="X5" s="6">
        <f t="shared" ref="X5:X15" si="7">-G5</f>
        <v>1450</v>
      </c>
      <c r="Y5" s="6">
        <f t="shared" ref="Y5:Y15" si="8">-F5</f>
        <v>1450</v>
      </c>
      <c r="Z5" s="6">
        <f t="shared" ref="Z5:Z15" si="9">-E5</f>
        <v>940</v>
      </c>
      <c r="AA5" s="6">
        <f t="shared" ref="AA5:AA15" si="10">-D5</f>
        <v>940</v>
      </c>
      <c r="AB5" s="6">
        <f t="shared" ref="AB5:AB15" si="11">-C5</f>
        <v>679</v>
      </c>
      <c r="AC5" s="6">
        <f t="shared" ref="AC5:AC18" si="12">-B5</f>
        <v>679</v>
      </c>
      <c r="AD5" s="8">
        <f t="shared" ref="AD5:AD39" si="13">MAX(B5:AC5)</f>
        <v>1485</v>
      </c>
    </row>
    <row r="6" spans="1:30" x14ac:dyDescent="0.25">
      <c r="A6" s="480" t="s">
        <v>5</v>
      </c>
      <c r="B6" s="5">
        <v>-679</v>
      </c>
      <c r="C6" s="5">
        <v>-679</v>
      </c>
      <c r="D6" s="5">
        <v>-890</v>
      </c>
      <c r="E6" s="5">
        <v>-890</v>
      </c>
      <c r="F6" s="5">
        <v>-1170</v>
      </c>
      <c r="G6" s="5">
        <v>-1400</v>
      </c>
      <c r="H6" s="5">
        <v>-1400</v>
      </c>
      <c r="I6" s="5">
        <v>-1435</v>
      </c>
      <c r="J6" s="5">
        <v>-1435</v>
      </c>
      <c r="K6" s="5">
        <v>-1250</v>
      </c>
      <c r="L6" s="5">
        <v>-710</v>
      </c>
      <c r="M6" s="5">
        <v>-405</v>
      </c>
      <c r="N6" s="5">
        <v>0</v>
      </c>
      <c r="O6" s="5">
        <v>0</v>
      </c>
      <c r="P6" s="5">
        <v>0</v>
      </c>
      <c r="Q6" s="6">
        <f t="shared" si="0"/>
        <v>0</v>
      </c>
      <c r="R6" s="6">
        <f t="shared" si="1"/>
        <v>405</v>
      </c>
      <c r="S6" s="6">
        <f t="shared" si="2"/>
        <v>710</v>
      </c>
      <c r="T6" s="6">
        <f t="shared" si="3"/>
        <v>1250</v>
      </c>
      <c r="U6" s="6">
        <f t="shared" si="4"/>
        <v>1435</v>
      </c>
      <c r="V6" s="6">
        <f t="shared" si="5"/>
        <v>1435</v>
      </c>
      <c r="W6" s="6">
        <f t="shared" si="6"/>
        <v>1400</v>
      </c>
      <c r="X6" s="6">
        <f t="shared" si="7"/>
        <v>1400</v>
      </c>
      <c r="Y6" s="6">
        <f t="shared" si="8"/>
        <v>1170</v>
      </c>
      <c r="Z6" s="6">
        <f t="shared" si="9"/>
        <v>890</v>
      </c>
      <c r="AA6" s="6">
        <f t="shared" si="10"/>
        <v>890</v>
      </c>
      <c r="AB6" s="6">
        <f t="shared" si="11"/>
        <v>679</v>
      </c>
      <c r="AC6" s="6">
        <f t="shared" si="12"/>
        <v>679</v>
      </c>
      <c r="AD6" s="8">
        <f t="shared" si="13"/>
        <v>1435</v>
      </c>
    </row>
    <row r="7" spans="1:30" x14ac:dyDescent="0.25">
      <c r="A7" s="2" t="s">
        <v>80</v>
      </c>
      <c r="B7" s="5">
        <v>-679</v>
      </c>
      <c r="C7" s="5">
        <v>-679</v>
      </c>
      <c r="D7" s="5">
        <v>-940</v>
      </c>
      <c r="E7" s="5">
        <v>-940</v>
      </c>
      <c r="F7" s="5">
        <v>-1450</v>
      </c>
      <c r="G7" s="5">
        <v>-1450</v>
      </c>
      <c r="H7" s="5">
        <v>-1485</v>
      </c>
      <c r="I7" s="5">
        <v>-1485</v>
      </c>
      <c r="J7" s="5">
        <v>-1250</v>
      </c>
      <c r="K7" s="5">
        <v>-760</v>
      </c>
      <c r="L7" s="5">
        <v>-455</v>
      </c>
      <c r="M7" s="5">
        <v>0</v>
      </c>
      <c r="N7" s="5">
        <v>0</v>
      </c>
      <c r="O7" s="5">
        <v>0</v>
      </c>
      <c r="P7" s="5">
        <v>0</v>
      </c>
      <c r="Q7" s="6">
        <f t="shared" si="0"/>
        <v>0</v>
      </c>
      <c r="R7" s="6">
        <f t="shared" si="1"/>
        <v>0</v>
      </c>
      <c r="S7" s="6">
        <f t="shared" si="2"/>
        <v>455</v>
      </c>
      <c r="T7" s="6">
        <f t="shared" si="3"/>
        <v>760</v>
      </c>
      <c r="U7" s="6">
        <f t="shared" si="4"/>
        <v>1250</v>
      </c>
      <c r="V7" s="6">
        <f t="shared" si="5"/>
        <v>1485</v>
      </c>
      <c r="W7" s="6">
        <f t="shared" si="6"/>
        <v>1485</v>
      </c>
      <c r="X7" s="6">
        <f t="shared" si="7"/>
        <v>1450</v>
      </c>
      <c r="Y7" s="6">
        <f t="shared" si="8"/>
        <v>1450</v>
      </c>
      <c r="Z7" s="6">
        <f t="shared" si="9"/>
        <v>940</v>
      </c>
      <c r="AA7" s="6">
        <f t="shared" si="10"/>
        <v>940</v>
      </c>
      <c r="AB7" s="6">
        <f t="shared" si="11"/>
        <v>679</v>
      </c>
      <c r="AC7" s="6">
        <f t="shared" si="12"/>
        <v>679</v>
      </c>
      <c r="AD7" s="8">
        <f t="shared" si="13"/>
        <v>1485</v>
      </c>
    </row>
    <row r="8" spans="1:30" x14ac:dyDescent="0.25">
      <c r="A8" s="2" t="s">
        <v>6</v>
      </c>
      <c r="B8" s="5">
        <v>-679</v>
      </c>
      <c r="C8" s="5">
        <v>-679</v>
      </c>
      <c r="D8" s="5">
        <v>-940</v>
      </c>
      <c r="E8" s="5">
        <v>-940</v>
      </c>
      <c r="F8" s="5">
        <v>-1220</v>
      </c>
      <c r="G8" s="5">
        <v>-1450</v>
      </c>
      <c r="H8" s="5">
        <v>-1450</v>
      </c>
      <c r="I8" s="5">
        <v>-1485</v>
      </c>
      <c r="J8" s="5">
        <v>-1485</v>
      </c>
      <c r="K8" s="5">
        <v>-1525</v>
      </c>
      <c r="L8" s="5">
        <v>-1485</v>
      </c>
      <c r="M8" s="5">
        <v>-1250</v>
      </c>
      <c r="N8" s="5">
        <v>-1065</v>
      </c>
      <c r="O8" s="5">
        <v>0</v>
      </c>
      <c r="P8" s="5">
        <v>0</v>
      </c>
      <c r="Q8" s="6">
        <f t="shared" si="0"/>
        <v>1065</v>
      </c>
      <c r="R8" s="6">
        <f t="shared" si="1"/>
        <v>1250</v>
      </c>
      <c r="S8" s="6">
        <f t="shared" si="2"/>
        <v>1485</v>
      </c>
      <c r="T8" s="6">
        <f t="shared" si="3"/>
        <v>1525</v>
      </c>
      <c r="U8" s="6">
        <f t="shared" si="4"/>
        <v>1485</v>
      </c>
      <c r="V8" s="6">
        <f t="shared" si="5"/>
        <v>1485</v>
      </c>
      <c r="W8" s="6">
        <f t="shared" si="6"/>
        <v>1450</v>
      </c>
      <c r="X8" s="6">
        <f t="shared" si="7"/>
        <v>1450</v>
      </c>
      <c r="Y8" s="6">
        <f t="shared" si="8"/>
        <v>1220</v>
      </c>
      <c r="Z8" s="6">
        <f t="shared" si="9"/>
        <v>940</v>
      </c>
      <c r="AA8" s="6">
        <f t="shared" si="10"/>
        <v>940</v>
      </c>
      <c r="AB8" s="6">
        <f t="shared" si="11"/>
        <v>679</v>
      </c>
      <c r="AC8" s="6">
        <f t="shared" si="12"/>
        <v>679</v>
      </c>
      <c r="AD8" s="8">
        <f t="shared" si="13"/>
        <v>1525</v>
      </c>
    </row>
    <row r="9" spans="1:30" x14ac:dyDescent="0.25">
      <c r="A9" s="2" t="s">
        <v>7</v>
      </c>
      <c r="B9" s="5">
        <v>-679</v>
      </c>
      <c r="C9" s="5">
        <v>-679</v>
      </c>
      <c r="D9" s="5">
        <v>-890</v>
      </c>
      <c r="E9" s="5">
        <v>-890</v>
      </c>
      <c r="F9" s="5">
        <v>-1170</v>
      </c>
      <c r="G9" s="5">
        <v>-1400</v>
      </c>
      <c r="H9" s="5">
        <v>-1400</v>
      </c>
      <c r="I9" s="5">
        <v>-1435</v>
      </c>
      <c r="J9" s="5">
        <v>-1435</v>
      </c>
      <c r="K9" s="5">
        <v>-1250</v>
      </c>
      <c r="L9" s="5">
        <v>-1250</v>
      </c>
      <c r="M9" s="5">
        <v>0</v>
      </c>
      <c r="N9" s="5">
        <v>0</v>
      </c>
      <c r="O9" s="5">
        <v>0</v>
      </c>
      <c r="P9" s="5">
        <v>0</v>
      </c>
      <c r="Q9" s="6">
        <f t="shared" si="0"/>
        <v>0</v>
      </c>
      <c r="R9" s="6">
        <f t="shared" si="1"/>
        <v>0</v>
      </c>
      <c r="S9" s="6">
        <f t="shared" si="2"/>
        <v>1250</v>
      </c>
      <c r="T9" s="6">
        <f t="shared" si="3"/>
        <v>1250</v>
      </c>
      <c r="U9" s="6">
        <f t="shared" si="4"/>
        <v>1435</v>
      </c>
      <c r="V9" s="6">
        <f t="shared" si="5"/>
        <v>1435</v>
      </c>
      <c r="W9" s="6">
        <f t="shared" si="6"/>
        <v>1400</v>
      </c>
      <c r="X9" s="6">
        <f t="shared" si="7"/>
        <v>1400</v>
      </c>
      <c r="Y9" s="6">
        <f t="shared" si="8"/>
        <v>1170</v>
      </c>
      <c r="Z9" s="6">
        <f t="shared" si="9"/>
        <v>890</v>
      </c>
      <c r="AA9" s="6">
        <f t="shared" si="10"/>
        <v>890</v>
      </c>
      <c r="AB9" s="6">
        <f t="shared" si="11"/>
        <v>679</v>
      </c>
      <c r="AC9" s="6">
        <f t="shared" si="12"/>
        <v>679</v>
      </c>
      <c r="AD9" s="8">
        <f t="shared" si="13"/>
        <v>1435</v>
      </c>
    </row>
    <row r="10" spans="1:30" x14ac:dyDescent="0.25">
      <c r="A10" s="2" t="s">
        <v>8</v>
      </c>
      <c r="B10" s="5">
        <v>-679</v>
      </c>
      <c r="C10" s="5">
        <v>-679</v>
      </c>
      <c r="D10" s="5">
        <v>-940</v>
      </c>
      <c r="E10" s="5">
        <v>-940</v>
      </c>
      <c r="F10" s="5">
        <v>-1220</v>
      </c>
      <c r="G10" s="5">
        <v>-1450</v>
      </c>
      <c r="H10" s="5">
        <v>-1450</v>
      </c>
      <c r="I10" s="5">
        <v>-1485</v>
      </c>
      <c r="J10" s="5">
        <v>-1485</v>
      </c>
      <c r="K10" s="5">
        <v>-840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6">
        <f t="shared" si="0"/>
        <v>0</v>
      </c>
      <c r="R10" s="6">
        <f t="shared" si="1"/>
        <v>0</v>
      </c>
      <c r="S10" s="6">
        <f t="shared" si="2"/>
        <v>0</v>
      </c>
      <c r="T10" s="6">
        <f t="shared" si="3"/>
        <v>840</v>
      </c>
      <c r="U10" s="6">
        <f t="shared" si="4"/>
        <v>1485</v>
      </c>
      <c r="V10" s="6">
        <f t="shared" si="5"/>
        <v>1485</v>
      </c>
      <c r="W10" s="6">
        <f t="shared" si="6"/>
        <v>1450</v>
      </c>
      <c r="X10" s="6">
        <f t="shared" si="7"/>
        <v>1450</v>
      </c>
      <c r="Y10" s="6">
        <f t="shared" si="8"/>
        <v>1220</v>
      </c>
      <c r="Z10" s="6">
        <f t="shared" si="9"/>
        <v>940</v>
      </c>
      <c r="AA10" s="6">
        <f t="shared" si="10"/>
        <v>940</v>
      </c>
      <c r="AB10" s="6">
        <f t="shared" si="11"/>
        <v>679</v>
      </c>
      <c r="AC10" s="6">
        <f t="shared" si="12"/>
        <v>679</v>
      </c>
      <c r="AD10" s="8">
        <f t="shared" si="13"/>
        <v>1485</v>
      </c>
    </row>
    <row r="11" spans="1:30" x14ac:dyDescent="0.25">
      <c r="A11" s="2" t="s">
        <v>9</v>
      </c>
      <c r="B11" s="5">
        <v>-679</v>
      </c>
      <c r="C11" s="5">
        <v>-679</v>
      </c>
      <c r="D11" s="5">
        <v>-940</v>
      </c>
      <c r="E11" s="5">
        <v>-940</v>
      </c>
      <c r="F11" s="5">
        <v>-1320</v>
      </c>
      <c r="G11" s="5">
        <v>-1525</v>
      </c>
      <c r="H11" s="5">
        <f>IF(INPUT!$E$4="RailCorp",-1525,-1525)</f>
        <v>-1525</v>
      </c>
      <c r="I11" s="5">
        <f>IF(INPUT!$E$4="RailCorp",-1485,-1610)</f>
        <v>-1485</v>
      </c>
      <c r="J11" s="5">
        <f>IF(INPUT!$E$4="RailCorp",-870,-1610)</f>
        <v>-870</v>
      </c>
      <c r="K11" s="5">
        <f>IF(INPUT!$E$4="RailCorp",0,-1510.665)</f>
        <v>0</v>
      </c>
      <c r="L11" s="5">
        <f>IF(INPUT!$E$4="RailCorp",0,-1485)</f>
        <v>0</v>
      </c>
      <c r="M11" s="5">
        <f>IF(INPUT!$E$4="RailCorp",0,-870)</f>
        <v>0</v>
      </c>
      <c r="N11" s="5">
        <v>0</v>
      </c>
      <c r="O11" s="5">
        <v>0</v>
      </c>
      <c r="P11" s="5">
        <v>0</v>
      </c>
      <c r="Q11" s="6">
        <f t="shared" si="0"/>
        <v>0</v>
      </c>
      <c r="R11" s="6">
        <f t="shared" si="1"/>
        <v>0</v>
      </c>
      <c r="S11" s="6">
        <f t="shared" si="2"/>
        <v>0</v>
      </c>
      <c r="T11" s="6">
        <f t="shared" si="3"/>
        <v>0</v>
      </c>
      <c r="U11" s="6">
        <f t="shared" si="4"/>
        <v>870</v>
      </c>
      <c r="V11" s="6">
        <f t="shared" si="5"/>
        <v>1485</v>
      </c>
      <c r="W11" s="6">
        <f t="shared" si="6"/>
        <v>1525</v>
      </c>
      <c r="X11" s="6">
        <f t="shared" si="7"/>
        <v>1525</v>
      </c>
      <c r="Y11" s="6">
        <f t="shared" si="8"/>
        <v>1320</v>
      </c>
      <c r="Z11" s="6">
        <f t="shared" si="9"/>
        <v>940</v>
      </c>
      <c r="AA11" s="6">
        <f t="shared" si="10"/>
        <v>940</v>
      </c>
      <c r="AB11" s="6">
        <f t="shared" si="11"/>
        <v>679</v>
      </c>
      <c r="AC11" s="6">
        <f t="shared" si="12"/>
        <v>679</v>
      </c>
      <c r="AD11" s="8">
        <f t="shared" si="13"/>
        <v>1525</v>
      </c>
    </row>
    <row r="12" spans="1:30" x14ac:dyDescent="0.25">
      <c r="A12" s="2" t="s">
        <v>10</v>
      </c>
      <c r="B12" s="5">
        <v>-679</v>
      </c>
      <c r="C12" s="5">
        <v>-679</v>
      </c>
      <c r="D12" s="5">
        <v>-940</v>
      </c>
      <c r="E12" s="5">
        <v>-940</v>
      </c>
      <c r="F12" s="5">
        <v>-1320</v>
      </c>
      <c r="G12" s="5">
        <v>-1525</v>
      </c>
      <c r="H12" s="5">
        <v>-1525</v>
      </c>
      <c r="I12" s="5">
        <v>-1540</v>
      </c>
      <c r="J12" s="5">
        <v>-1540</v>
      </c>
      <c r="K12" s="5">
        <v>-840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6">
        <f t="shared" si="0"/>
        <v>0</v>
      </c>
      <c r="R12" s="6">
        <f t="shared" si="1"/>
        <v>0</v>
      </c>
      <c r="S12" s="6">
        <f t="shared" si="2"/>
        <v>0</v>
      </c>
      <c r="T12" s="6">
        <f t="shared" si="3"/>
        <v>840</v>
      </c>
      <c r="U12" s="6">
        <f t="shared" si="4"/>
        <v>1540</v>
      </c>
      <c r="V12" s="6">
        <f t="shared" si="5"/>
        <v>1540</v>
      </c>
      <c r="W12" s="6">
        <f t="shared" si="6"/>
        <v>1525</v>
      </c>
      <c r="X12" s="6">
        <f t="shared" si="7"/>
        <v>1525</v>
      </c>
      <c r="Y12" s="6">
        <f t="shared" si="8"/>
        <v>1320</v>
      </c>
      <c r="Z12" s="6">
        <f t="shared" si="9"/>
        <v>940</v>
      </c>
      <c r="AA12" s="6">
        <f t="shared" si="10"/>
        <v>940</v>
      </c>
      <c r="AB12" s="6">
        <f t="shared" si="11"/>
        <v>679</v>
      </c>
      <c r="AC12" s="6">
        <f t="shared" si="12"/>
        <v>679</v>
      </c>
      <c r="AD12" s="8">
        <f t="shared" si="13"/>
        <v>1540</v>
      </c>
    </row>
    <row r="13" spans="1:30" x14ac:dyDescent="0.25">
      <c r="A13" s="2" t="s">
        <v>11</v>
      </c>
      <c r="B13" s="5">
        <v>-679</v>
      </c>
      <c r="C13" s="5">
        <v>-679</v>
      </c>
      <c r="D13" s="5">
        <v>-940</v>
      </c>
      <c r="E13" s="5">
        <v>-940</v>
      </c>
      <c r="F13" s="5">
        <v>-1320</v>
      </c>
      <c r="G13" s="5">
        <v>-1525</v>
      </c>
      <c r="H13" s="5">
        <v>-1525</v>
      </c>
      <c r="I13" s="5">
        <v>-1600</v>
      </c>
      <c r="J13" s="5">
        <v>-1600</v>
      </c>
      <c r="K13" s="5">
        <v>-840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6">
        <f t="shared" si="0"/>
        <v>0</v>
      </c>
      <c r="R13" s="6">
        <f t="shared" si="1"/>
        <v>0</v>
      </c>
      <c r="S13" s="6">
        <f t="shared" si="2"/>
        <v>0</v>
      </c>
      <c r="T13" s="6">
        <f t="shared" si="3"/>
        <v>840</v>
      </c>
      <c r="U13" s="6">
        <f t="shared" si="4"/>
        <v>1600</v>
      </c>
      <c r="V13" s="6">
        <f t="shared" si="5"/>
        <v>1600</v>
      </c>
      <c r="W13" s="6">
        <f t="shared" si="6"/>
        <v>1525</v>
      </c>
      <c r="X13" s="6">
        <f t="shared" si="7"/>
        <v>1525</v>
      </c>
      <c r="Y13" s="6">
        <f t="shared" si="8"/>
        <v>1320</v>
      </c>
      <c r="Z13" s="6">
        <f t="shared" si="9"/>
        <v>940</v>
      </c>
      <c r="AA13" s="6">
        <f t="shared" si="10"/>
        <v>940</v>
      </c>
      <c r="AB13" s="6">
        <f t="shared" si="11"/>
        <v>679</v>
      </c>
      <c r="AC13" s="6">
        <f t="shared" si="12"/>
        <v>679</v>
      </c>
      <c r="AD13" s="8">
        <f t="shared" si="13"/>
        <v>1600</v>
      </c>
    </row>
    <row r="14" spans="1:30" x14ac:dyDescent="0.25">
      <c r="A14" s="2" t="s">
        <v>12</v>
      </c>
      <c r="B14" s="5">
        <v>-679</v>
      </c>
      <c r="C14" s="5">
        <v>-679</v>
      </c>
      <c r="D14" s="5">
        <v>-940</v>
      </c>
      <c r="E14" s="5">
        <v>-940</v>
      </c>
      <c r="F14" s="5">
        <v>-1220</v>
      </c>
      <c r="G14" s="5">
        <v>-1448</v>
      </c>
      <c r="H14" s="5">
        <v>-1448</v>
      </c>
      <c r="I14" s="5">
        <v>-1473</v>
      </c>
      <c r="J14" s="5">
        <v>-1473</v>
      </c>
      <c r="K14" s="5">
        <v>-1867</v>
      </c>
      <c r="L14" s="5">
        <v>-1867</v>
      </c>
      <c r="M14" s="5">
        <v>-1600</v>
      </c>
      <c r="N14" s="5">
        <v>-914</v>
      </c>
      <c r="O14" s="5">
        <v>0</v>
      </c>
      <c r="P14" s="5">
        <v>0</v>
      </c>
      <c r="Q14" s="6">
        <f t="shared" si="0"/>
        <v>914</v>
      </c>
      <c r="R14" s="6">
        <f t="shared" si="1"/>
        <v>1600</v>
      </c>
      <c r="S14" s="6">
        <f t="shared" si="2"/>
        <v>1867</v>
      </c>
      <c r="T14" s="6">
        <f t="shared" si="3"/>
        <v>1867</v>
      </c>
      <c r="U14" s="6">
        <f t="shared" si="4"/>
        <v>1473</v>
      </c>
      <c r="V14" s="6">
        <f t="shared" si="5"/>
        <v>1473</v>
      </c>
      <c r="W14" s="6">
        <f t="shared" si="6"/>
        <v>1448</v>
      </c>
      <c r="X14" s="6">
        <f t="shared" si="7"/>
        <v>1448</v>
      </c>
      <c r="Y14" s="6">
        <f t="shared" si="8"/>
        <v>1220</v>
      </c>
      <c r="Z14" s="6">
        <f t="shared" si="9"/>
        <v>940</v>
      </c>
      <c r="AA14" s="6">
        <f t="shared" si="10"/>
        <v>940</v>
      </c>
      <c r="AB14" s="6">
        <f t="shared" si="11"/>
        <v>679</v>
      </c>
      <c r="AC14" s="6">
        <f t="shared" si="12"/>
        <v>679</v>
      </c>
      <c r="AD14" s="8">
        <f t="shared" si="13"/>
        <v>1867</v>
      </c>
    </row>
    <row r="15" spans="1:30" x14ac:dyDescent="0.25">
      <c r="A15" s="2" t="s">
        <v>13</v>
      </c>
      <c r="B15" s="5">
        <v>-679</v>
      </c>
      <c r="C15" s="5">
        <v>-679</v>
      </c>
      <c r="D15" s="5">
        <v>-838</v>
      </c>
      <c r="E15" s="5">
        <v>-838</v>
      </c>
      <c r="F15" s="5">
        <v>-1143</v>
      </c>
      <c r="G15" s="5">
        <v>-1397</v>
      </c>
      <c r="H15" s="5">
        <v>-1397</v>
      </c>
      <c r="I15" s="5">
        <v>-1790</v>
      </c>
      <c r="J15" s="5">
        <v>-1790</v>
      </c>
      <c r="K15" s="5">
        <v>-1524</v>
      </c>
      <c r="L15" s="5">
        <v>-838</v>
      </c>
      <c r="M15" s="5">
        <v>0</v>
      </c>
      <c r="N15" s="5">
        <v>0</v>
      </c>
      <c r="O15" s="5">
        <v>0</v>
      </c>
      <c r="P15" s="5">
        <v>0</v>
      </c>
      <c r="Q15" s="6">
        <f t="shared" si="0"/>
        <v>0</v>
      </c>
      <c r="R15" s="6">
        <f t="shared" si="1"/>
        <v>0</v>
      </c>
      <c r="S15" s="6">
        <f t="shared" si="2"/>
        <v>838</v>
      </c>
      <c r="T15" s="6">
        <f t="shared" si="3"/>
        <v>1524</v>
      </c>
      <c r="U15" s="6">
        <f t="shared" si="4"/>
        <v>1790</v>
      </c>
      <c r="V15" s="6">
        <f t="shared" si="5"/>
        <v>1790</v>
      </c>
      <c r="W15" s="6">
        <f t="shared" si="6"/>
        <v>1397</v>
      </c>
      <c r="X15" s="6">
        <f t="shared" si="7"/>
        <v>1397</v>
      </c>
      <c r="Y15" s="6">
        <f t="shared" si="8"/>
        <v>1143</v>
      </c>
      <c r="Z15" s="6">
        <f t="shared" si="9"/>
        <v>838</v>
      </c>
      <c r="AA15" s="6">
        <f t="shared" si="10"/>
        <v>838</v>
      </c>
      <c r="AB15" s="6">
        <f t="shared" si="11"/>
        <v>679</v>
      </c>
      <c r="AC15" s="6">
        <f t="shared" si="12"/>
        <v>679</v>
      </c>
      <c r="AD15" s="8">
        <f t="shared" si="13"/>
        <v>1790</v>
      </c>
    </row>
    <row r="16" spans="1:30" x14ac:dyDescent="0.25">
      <c r="A16" s="2" t="s">
        <v>41</v>
      </c>
      <c r="B16" s="5">
        <v>-679</v>
      </c>
      <c r="C16" s="5">
        <v>-679</v>
      </c>
      <c r="D16" s="5">
        <v>-940</v>
      </c>
      <c r="E16" s="5">
        <v>-940</v>
      </c>
      <c r="F16" s="5">
        <v>-1220</v>
      </c>
      <c r="G16" s="5">
        <v>-1435</v>
      </c>
      <c r="H16" s="5">
        <v>-1435</v>
      </c>
      <c r="I16" s="5">
        <v>-1485</v>
      </c>
      <c r="J16" s="5">
        <v>-1485</v>
      </c>
      <c r="K16" s="5">
        <v>-1250</v>
      </c>
      <c r="L16" s="5">
        <v>-1065</v>
      </c>
      <c r="M16" s="5">
        <v>-760</v>
      </c>
      <c r="N16" s="5">
        <v>-465</v>
      </c>
      <c r="O16" s="5">
        <v>0</v>
      </c>
      <c r="P16" s="5">
        <v>0</v>
      </c>
      <c r="Q16" s="6">
        <f>-N16</f>
        <v>465</v>
      </c>
      <c r="R16" s="6">
        <f>-M16</f>
        <v>760</v>
      </c>
      <c r="S16" s="6">
        <f>-L16</f>
        <v>1065</v>
      </c>
      <c r="T16" s="6">
        <f>-K16</f>
        <v>1250</v>
      </c>
      <c r="U16" s="6">
        <f>-J16</f>
        <v>1485</v>
      </c>
      <c r="V16" s="6">
        <f>-I16</f>
        <v>1485</v>
      </c>
      <c r="W16" s="6">
        <f>-H16</f>
        <v>1435</v>
      </c>
      <c r="X16" s="6">
        <f>-G16</f>
        <v>1435</v>
      </c>
      <c r="Y16" s="6">
        <f>-F16</f>
        <v>1220</v>
      </c>
      <c r="Z16" s="6">
        <f>-E16</f>
        <v>940</v>
      </c>
      <c r="AA16" s="6">
        <f>-D16</f>
        <v>940</v>
      </c>
      <c r="AB16" s="6">
        <f>-C16</f>
        <v>679</v>
      </c>
      <c r="AC16" s="6">
        <f t="shared" si="12"/>
        <v>679</v>
      </c>
      <c r="AD16" s="8">
        <f t="shared" si="13"/>
        <v>1485</v>
      </c>
    </row>
    <row r="17" spans="1:30" ht="12.5" x14ac:dyDescent="0.25">
      <c r="A17" s="4" t="s">
        <v>72</v>
      </c>
      <c r="B17" s="5">
        <v>-679</v>
      </c>
      <c r="C17" s="5">
        <v>-679</v>
      </c>
      <c r="D17" s="5">
        <v>-940</v>
      </c>
      <c r="E17" s="5">
        <v>-940</v>
      </c>
      <c r="F17" s="5">
        <v>-1220</v>
      </c>
      <c r="G17" s="5">
        <v>-1435</v>
      </c>
      <c r="H17" s="5">
        <v>-1435</v>
      </c>
      <c r="I17" s="5">
        <v>-1250</v>
      </c>
      <c r="J17" s="5">
        <v>-1250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6">
        <f>-N17</f>
        <v>0</v>
      </c>
      <c r="R17" s="6">
        <f>-M17</f>
        <v>0</v>
      </c>
      <c r="S17" s="6">
        <f>-L17</f>
        <v>0</v>
      </c>
      <c r="T17" s="6">
        <f>-K17</f>
        <v>0</v>
      </c>
      <c r="U17" s="6">
        <f>-J17</f>
        <v>1250</v>
      </c>
      <c r="V17" s="6">
        <f>-I17</f>
        <v>1250</v>
      </c>
      <c r="W17" s="6">
        <f>-H17</f>
        <v>1435</v>
      </c>
      <c r="X17" s="6">
        <f>-G17</f>
        <v>1435</v>
      </c>
      <c r="Y17" s="6">
        <f>-F17</f>
        <v>1220</v>
      </c>
      <c r="Z17" s="6">
        <f>-E17</f>
        <v>940</v>
      </c>
      <c r="AA17" s="6">
        <f>-D17</f>
        <v>940</v>
      </c>
      <c r="AB17" s="6">
        <f>-C17</f>
        <v>679</v>
      </c>
      <c r="AC17" s="6">
        <f t="shared" si="12"/>
        <v>679</v>
      </c>
      <c r="AD17" s="8">
        <f t="shared" si="13"/>
        <v>1435</v>
      </c>
    </row>
    <row r="18" spans="1:30" ht="12.5" x14ac:dyDescent="0.25">
      <c r="A18" s="4" t="s">
        <v>164</v>
      </c>
      <c r="B18" s="5">
        <v>-673</v>
      </c>
      <c r="C18" s="5">
        <v>-673</v>
      </c>
      <c r="D18" s="5">
        <v>-940</v>
      </c>
      <c r="E18" s="5">
        <v>-940</v>
      </c>
      <c r="F18" s="5">
        <v>-1320</v>
      </c>
      <c r="G18" s="5">
        <v>-1450</v>
      </c>
      <c r="H18" s="5">
        <v>-1450</v>
      </c>
      <c r="I18" s="5">
        <v>-1600</v>
      </c>
      <c r="J18" s="5">
        <v>-1600</v>
      </c>
      <c r="K18" s="5">
        <v>-1220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6">
        <f>-N18</f>
        <v>0</v>
      </c>
      <c r="R18" s="6">
        <f>-M18</f>
        <v>0</v>
      </c>
      <c r="S18" s="6">
        <f>-L18</f>
        <v>0</v>
      </c>
      <c r="T18" s="6">
        <f>-K18</f>
        <v>1220</v>
      </c>
      <c r="U18" s="6">
        <f>-J18</f>
        <v>1600</v>
      </c>
      <c r="V18" s="6">
        <f>-I18</f>
        <v>1600</v>
      </c>
      <c r="W18" s="6">
        <f>-H18</f>
        <v>1450</v>
      </c>
      <c r="X18" s="6">
        <f>-G18</f>
        <v>1450</v>
      </c>
      <c r="Y18" s="6">
        <f>-F18</f>
        <v>1320</v>
      </c>
      <c r="Z18" s="6">
        <f>-E18</f>
        <v>940</v>
      </c>
      <c r="AA18" s="6">
        <f>-D18</f>
        <v>940</v>
      </c>
      <c r="AB18" s="6">
        <f>-C18</f>
        <v>673</v>
      </c>
      <c r="AC18" s="6">
        <f t="shared" si="12"/>
        <v>673</v>
      </c>
      <c r="AD18" s="8">
        <f t="shared" si="13"/>
        <v>1600</v>
      </c>
    </row>
    <row r="19" spans="1:30" ht="12.5" x14ac:dyDescent="0.25">
      <c r="A19" s="4" t="s">
        <v>198</v>
      </c>
      <c r="B19" s="5">
        <v>-679</v>
      </c>
      <c r="C19" s="5">
        <v>-679</v>
      </c>
      <c r="D19" s="5">
        <v>-940</v>
      </c>
      <c r="E19" s="5">
        <v>-940</v>
      </c>
      <c r="F19" s="5">
        <v>-1220</v>
      </c>
      <c r="G19" s="5">
        <v>-1450</v>
      </c>
      <c r="H19" s="5">
        <v>-1450</v>
      </c>
      <c r="I19" s="5">
        <v>-1485</v>
      </c>
      <c r="J19" s="5">
        <v>-1485</v>
      </c>
      <c r="K19" s="5">
        <v>-1250</v>
      </c>
      <c r="L19" s="5">
        <v>-1065</v>
      </c>
      <c r="M19" s="5">
        <v>-760</v>
      </c>
      <c r="N19" s="5">
        <v>-455</v>
      </c>
      <c r="O19" s="5">
        <v>0</v>
      </c>
      <c r="P19" s="5">
        <v>0</v>
      </c>
      <c r="Q19" s="6">
        <f>-N19</f>
        <v>455</v>
      </c>
      <c r="R19" s="6">
        <f>-M19</f>
        <v>760</v>
      </c>
      <c r="S19" s="6">
        <f>-L19</f>
        <v>1065</v>
      </c>
      <c r="T19" s="6">
        <f>-K19</f>
        <v>1250</v>
      </c>
      <c r="U19" s="6">
        <f>-J19</f>
        <v>1485</v>
      </c>
      <c r="V19" s="6">
        <f>-I19</f>
        <v>1485</v>
      </c>
      <c r="W19" s="6">
        <f>-H19</f>
        <v>1450</v>
      </c>
      <c r="X19" s="6">
        <f>-G19</f>
        <v>1450</v>
      </c>
      <c r="Y19" s="6">
        <f>-F19</f>
        <v>1220</v>
      </c>
      <c r="Z19" s="6">
        <f>-E19</f>
        <v>940</v>
      </c>
      <c r="AA19" s="6">
        <f>-D19</f>
        <v>940</v>
      </c>
      <c r="AB19" s="6">
        <f>-C19</f>
        <v>679</v>
      </c>
      <c r="AC19" s="6">
        <f t="shared" ref="AC19" si="14">-B19</f>
        <v>679</v>
      </c>
      <c r="AD19" s="8">
        <f t="shared" si="13"/>
        <v>1485</v>
      </c>
    </row>
    <row r="20" spans="1:30" ht="12.5" x14ac:dyDescent="0.25">
      <c r="A20" s="4" t="s">
        <v>254</v>
      </c>
      <c r="B20" s="5">
        <v>-675</v>
      </c>
      <c r="C20" s="5">
        <v>-675</v>
      </c>
      <c r="D20" s="5">
        <v>-940</v>
      </c>
      <c r="E20" s="5">
        <v>-940</v>
      </c>
      <c r="F20" s="5">
        <v>-1130</v>
      </c>
      <c r="G20" s="5">
        <v>-1130</v>
      </c>
      <c r="H20" s="5">
        <v>-1450</v>
      </c>
      <c r="I20" s="5">
        <v>-1450</v>
      </c>
      <c r="J20" s="5">
        <v>-1600</v>
      </c>
      <c r="K20" s="5">
        <v>-1600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6">
        <f>-N20</f>
        <v>0</v>
      </c>
      <c r="R20" s="6">
        <f>-M20</f>
        <v>0</v>
      </c>
      <c r="S20" s="6">
        <f>-L20</f>
        <v>0</v>
      </c>
      <c r="T20" s="6">
        <f>-K20</f>
        <v>1600</v>
      </c>
      <c r="U20" s="6">
        <f>-J20</f>
        <v>1600</v>
      </c>
      <c r="V20" s="6">
        <f>-I20</f>
        <v>1450</v>
      </c>
      <c r="W20" s="6">
        <f>-H20</f>
        <v>1450</v>
      </c>
      <c r="X20" s="6">
        <f>-G20</f>
        <v>1130</v>
      </c>
      <c r="Y20" s="6">
        <f>-F20</f>
        <v>1130</v>
      </c>
      <c r="Z20" s="6">
        <f>-E20</f>
        <v>940</v>
      </c>
      <c r="AA20" s="6">
        <f>-D20</f>
        <v>940</v>
      </c>
      <c r="AB20" s="6">
        <f>-C20</f>
        <v>675</v>
      </c>
      <c r="AC20" s="6">
        <f t="shared" ref="AC20" si="15">-B20</f>
        <v>675</v>
      </c>
      <c r="AD20" s="8">
        <f t="shared" si="13"/>
        <v>1600</v>
      </c>
    </row>
    <row r="21" spans="1:30" x14ac:dyDescent="0.25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  <c r="W21" s="11"/>
      <c r="X21" s="11"/>
      <c r="Y21" s="11"/>
      <c r="Z21" s="11"/>
      <c r="AA21" s="11"/>
      <c r="AB21" s="11"/>
      <c r="AC21" s="11"/>
      <c r="AD21" s="11"/>
    </row>
    <row r="22" spans="1:30" x14ac:dyDescent="0.25">
      <c r="A22" s="1"/>
      <c r="B22" s="466" t="s">
        <v>14</v>
      </c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B22" s="466"/>
      <c r="AC22" s="466"/>
      <c r="AD22" s="466"/>
    </row>
    <row r="23" spans="1:30" x14ac:dyDescent="0.25">
      <c r="A23" s="480" t="s">
        <v>3</v>
      </c>
      <c r="B23" s="5">
        <v>75</v>
      </c>
      <c r="C23" s="5">
        <v>0</v>
      </c>
      <c r="D23" s="5">
        <v>0</v>
      </c>
      <c r="E23" s="5">
        <v>152</v>
      </c>
      <c r="F23" s="5">
        <v>152</v>
      </c>
      <c r="G23" s="5">
        <v>345</v>
      </c>
      <c r="H23" s="5">
        <v>1120</v>
      </c>
      <c r="I23" s="5">
        <v>1120</v>
      </c>
      <c r="J23" s="5">
        <v>3580</v>
      </c>
      <c r="K23" s="5">
        <v>3916</v>
      </c>
      <c r="L23" s="5">
        <v>4040</v>
      </c>
      <c r="M23" s="5">
        <v>4190</v>
      </c>
      <c r="N23" s="5">
        <v>4270</v>
      </c>
      <c r="O23" s="5">
        <v>4270</v>
      </c>
      <c r="P23" s="5">
        <v>4270</v>
      </c>
      <c r="Q23" s="6">
        <f>N23</f>
        <v>4270</v>
      </c>
      <c r="R23" s="6">
        <f>M23</f>
        <v>4190</v>
      </c>
      <c r="S23" s="6">
        <f>L23</f>
        <v>4040</v>
      </c>
      <c r="T23" s="6">
        <f>K23</f>
        <v>3916</v>
      </c>
      <c r="U23" s="6">
        <f>J23</f>
        <v>3580</v>
      </c>
      <c r="V23" s="7">
        <f>I23</f>
        <v>1120</v>
      </c>
      <c r="W23" s="7">
        <f>H23</f>
        <v>1120</v>
      </c>
      <c r="X23" s="7">
        <f>G23</f>
        <v>345</v>
      </c>
      <c r="Y23" s="7">
        <f>F23</f>
        <v>152</v>
      </c>
      <c r="Z23" s="7">
        <f>E23</f>
        <v>152</v>
      </c>
      <c r="AA23" s="7">
        <f>D23</f>
        <v>0</v>
      </c>
      <c r="AB23" s="7">
        <f>C23</f>
        <v>0</v>
      </c>
      <c r="AC23" s="7">
        <f>B23</f>
        <v>75</v>
      </c>
      <c r="AD23" s="8">
        <f t="shared" si="13"/>
        <v>4270</v>
      </c>
    </row>
    <row r="24" spans="1:30" x14ac:dyDescent="0.25">
      <c r="A24" s="480" t="s">
        <v>4</v>
      </c>
      <c r="B24" s="5">
        <v>75</v>
      </c>
      <c r="C24" s="5">
        <v>0</v>
      </c>
      <c r="D24" s="5">
        <v>0</v>
      </c>
      <c r="E24" s="5">
        <v>152</v>
      </c>
      <c r="F24" s="5">
        <v>152</v>
      </c>
      <c r="G24" s="5">
        <v>345</v>
      </c>
      <c r="H24" s="5">
        <v>1120</v>
      </c>
      <c r="I24" s="5">
        <v>1120</v>
      </c>
      <c r="J24" s="5">
        <v>3580</v>
      </c>
      <c r="K24" s="5">
        <v>4040</v>
      </c>
      <c r="L24" s="5">
        <v>4190</v>
      </c>
      <c r="M24" s="5">
        <v>4270</v>
      </c>
      <c r="N24" s="5">
        <v>4270</v>
      </c>
      <c r="O24" s="5">
        <v>4270</v>
      </c>
      <c r="P24" s="5">
        <v>4270</v>
      </c>
      <c r="Q24" s="6">
        <f t="shared" ref="Q24:Q37" si="16">N24</f>
        <v>4270</v>
      </c>
      <c r="R24" s="6">
        <f t="shared" ref="R24:R37" si="17">M24</f>
        <v>4270</v>
      </c>
      <c r="S24" s="6">
        <f t="shared" ref="S24:S37" si="18">L24</f>
        <v>4190</v>
      </c>
      <c r="T24" s="6">
        <f t="shared" ref="T24:T37" si="19">K24</f>
        <v>4040</v>
      </c>
      <c r="U24" s="6">
        <f t="shared" ref="U24:U37" si="20">J24</f>
        <v>3580</v>
      </c>
      <c r="V24" s="7">
        <f t="shared" ref="V24:V37" si="21">I24</f>
        <v>1120</v>
      </c>
      <c r="W24" s="7">
        <f t="shared" ref="W24:W37" si="22">H24</f>
        <v>1120</v>
      </c>
      <c r="X24" s="7">
        <f t="shared" ref="X24:X37" si="23">G24</f>
        <v>345</v>
      </c>
      <c r="Y24" s="7">
        <f t="shared" ref="Y24:Y37" si="24">F24</f>
        <v>152</v>
      </c>
      <c r="Z24" s="7">
        <f t="shared" ref="Z24:Z37" si="25">E24</f>
        <v>152</v>
      </c>
      <c r="AA24" s="7">
        <f t="shared" ref="AA24:AA37" si="26">D24</f>
        <v>0</v>
      </c>
      <c r="AB24" s="7">
        <f t="shared" ref="AB24:AB37" si="27">C24</f>
        <v>0</v>
      </c>
      <c r="AC24" s="7">
        <f t="shared" ref="AC24:AC37" si="28">B24</f>
        <v>75</v>
      </c>
      <c r="AD24" s="8">
        <f t="shared" si="13"/>
        <v>4270</v>
      </c>
    </row>
    <row r="25" spans="1:30" x14ac:dyDescent="0.25">
      <c r="A25" s="480" t="s">
        <v>5</v>
      </c>
      <c r="B25" s="5">
        <v>75</v>
      </c>
      <c r="C25" s="5">
        <v>0</v>
      </c>
      <c r="D25" s="5">
        <v>0</v>
      </c>
      <c r="E25" s="5">
        <v>152</v>
      </c>
      <c r="F25" s="5">
        <v>152</v>
      </c>
      <c r="G25" s="5">
        <v>345</v>
      </c>
      <c r="H25" s="5">
        <v>1120</v>
      </c>
      <c r="I25" s="5">
        <v>1120</v>
      </c>
      <c r="J25" s="5">
        <v>3580</v>
      </c>
      <c r="K25" s="5">
        <v>4030</v>
      </c>
      <c r="L25" s="5">
        <v>4190</v>
      </c>
      <c r="M25" s="5">
        <v>4270</v>
      </c>
      <c r="N25" s="5">
        <v>4270</v>
      </c>
      <c r="O25" s="5">
        <v>4270</v>
      </c>
      <c r="P25" s="5">
        <v>4270</v>
      </c>
      <c r="Q25" s="6">
        <f>N25</f>
        <v>4270</v>
      </c>
      <c r="R25" s="6">
        <f>M25</f>
        <v>4270</v>
      </c>
      <c r="S25" s="6">
        <f>L25</f>
        <v>4190</v>
      </c>
      <c r="T25" s="6">
        <f>K25</f>
        <v>4030</v>
      </c>
      <c r="U25" s="6">
        <f>J25</f>
        <v>3580</v>
      </c>
      <c r="V25" s="7">
        <f t="shared" si="21"/>
        <v>1120</v>
      </c>
      <c r="W25" s="7">
        <f t="shared" si="22"/>
        <v>1120</v>
      </c>
      <c r="X25" s="7">
        <f t="shared" si="23"/>
        <v>345</v>
      </c>
      <c r="Y25" s="7">
        <f t="shared" si="24"/>
        <v>152</v>
      </c>
      <c r="Z25" s="7">
        <f t="shared" si="25"/>
        <v>152</v>
      </c>
      <c r="AA25" s="7">
        <f t="shared" si="26"/>
        <v>0</v>
      </c>
      <c r="AB25" s="7">
        <f t="shared" si="27"/>
        <v>0</v>
      </c>
      <c r="AC25" s="7">
        <f t="shared" si="28"/>
        <v>75</v>
      </c>
      <c r="AD25" s="8">
        <f t="shared" si="13"/>
        <v>4270</v>
      </c>
    </row>
    <row r="26" spans="1:30" x14ac:dyDescent="0.25">
      <c r="A26" s="2" t="s">
        <v>80</v>
      </c>
      <c r="B26" s="5">
        <v>75</v>
      </c>
      <c r="C26" s="5">
        <v>0</v>
      </c>
      <c r="D26" s="5">
        <v>0</v>
      </c>
      <c r="E26" s="5">
        <v>152</v>
      </c>
      <c r="F26" s="5">
        <v>152</v>
      </c>
      <c r="G26" s="5">
        <v>1120</v>
      </c>
      <c r="H26" s="5">
        <v>1120</v>
      </c>
      <c r="I26" s="5">
        <v>3580</v>
      </c>
      <c r="J26" s="5">
        <v>4030</v>
      </c>
      <c r="K26" s="5">
        <v>4190</v>
      </c>
      <c r="L26" s="5">
        <v>4270</v>
      </c>
      <c r="M26" s="5">
        <v>4270</v>
      </c>
      <c r="N26" s="5">
        <v>4270</v>
      </c>
      <c r="O26" s="5">
        <v>4270</v>
      </c>
      <c r="P26" s="5">
        <v>4270</v>
      </c>
      <c r="Q26" s="6">
        <f t="shared" si="16"/>
        <v>4270</v>
      </c>
      <c r="R26" s="6">
        <f t="shared" si="17"/>
        <v>4270</v>
      </c>
      <c r="S26" s="6">
        <f t="shared" si="18"/>
        <v>4270</v>
      </c>
      <c r="T26" s="6">
        <f t="shared" si="19"/>
        <v>4190</v>
      </c>
      <c r="U26" s="6">
        <f t="shared" si="20"/>
        <v>4030</v>
      </c>
      <c r="V26" s="7">
        <f t="shared" si="21"/>
        <v>3580</v>
      </c>
      <c r="W26" s="7">
        <f t="shared" si="22"/>
        <v>1120</v>
      </c>
      <c r="X26" s="7">
        <f t="shared" si="23"/>
        <v>1120</v>
      </c>
      <c r="Y26" s="7">
        <f t="shared" si="24"/>
        <v>152</v>
      </c>
      <c r="Z26" s="7">
        <f t="shared" si="25"/>
        <v>152</v>
      </c>
      <c r="AA26" s="7">
        <f t="shared" si="26"/>
        <v>0</v>
      </c>
      <c r="AB26" s="7">
        <f t="shared" si="27"/>
        <v>0</v>
      </c>
      <c r="AC26" s="7">
        <f t="shared" si="28"/>
        <v>75</v>
      </c>
      <c r="AD26" s="8">
        <f t="shared" si="13"/>
        <v>4270</v>
      </c>
    </row>
    <row r="27" spans="1:30" x14ac:dyDescent="0.25">
      <c r="A27" s="2" t="s">
        <v>6</v>
      </c>
      <c r="B27" s="5">
        <v>75</v>
      </c>
      <c r="C27" s="5">
        <v>0</v>
      </c>
      <c r="D27" s="5">
        <v>0</v>
      </c>
      <c r="E27" s="5">
        <v>152</v>
      </c>
      <c r="F27" s="5">
        <v>152</v>
      </c>
      <c r="G27" s="5">
        <v>345</v>
      </c>
      <c r="H27" s="5">
        <v>1120</v>
      </c>
      <c r="I27" s="5">
        <v>1120</v>
      </c>
      <c r="J27" s="5">
        <v>1800</v>
      </c>
      <c r="K27" s="5">
        <v>2350</v>
      </c>
      <c r="L27" s="5">
        <v>3580</v>
      </c>
      <c r="M27" s="5">
        <v>3916</v>
      </c>
      <c r="N27" s="5">
        <v>4040</v>
      </c>
      <c r="O27" s="5">
        <v>4270</v>
      </c>
      <c r="P27" s="5">
        <v>4270</v>
      </c>
      <c r="Q27" s="6">
        <f t="shared" si="16"/>
        <v>4040</v>
      </c>
      <c r="R27" s="6">
        <f t="shared" si="17"/>
        <v>3916</v>
      </c>
      <c r="S27" s="6">
        <f t="shared" si="18"/>
        <v>3580</v>
      </c>
      <c r="T27" s="6">
        <f t="shared" si="19"/>
        <v>2350</v>
      </c>
      <c r="U27" s="6">
        <f t="shared" si="20"/>
        <v>1800</v>
      </c>
      <c r="V27" s="7">
        <f t="shared" si="21"/>
        <v>1120</v>
      </c>
      <c r="W27" s="7">
        <f t="shared" si="22"/>
        <v>1120</v>
      </c>
      <c r="X27" s="7">
        <f t="shared" si="23"/>
        <v>345</v>
      </c>
      <c r="Y27" s="7">
        <f t="shared" si="24"/>
        <v>152</v>
      </c>
      <c r="Z27" s="7">
        <f t="shared" si="25"/>
        <v>152</v>
      </c>
      <c r="AA27" s="7">
        <f t="shared" si="26"/>
        <v>0</v>
      </c>
      <c r="AB27" s="7">
        <f t="shared" si="27"/>
        <v>0</v>
      </c>
      <c r="AC27" s="7">
        <f t="shared" si="28"/>
        <v>75</v>
      </c>
      <c r="AD27" s="8">
        <f t="shared" si="13"/>
        <v>4270</v>
      </c>
    </row>
    <row r="28" spans="1:30" x14ac:dyDescent="0.25">
      <c r="A28" s="2" t="s">
        <v>7</v>
      </c>
      <c r="B28" s="5">
        <v>75</v>
      </c>
      <c r="C28" s="5">
        <v>0</v>
      </c>
      <c r="D28" s="5">
        <v>0</v>
      </c>
      <c r="E28" s="5">
        <v>152</v>
      </c>
      <c r="F28" s="5">
        <v>152</v>
      </c>
      <c r="G28" s="5">
        <v>345</v>
      </c>
      <c r="H28" s="5">
        <v>1120</v>
      </c>
      <c r="I28" s="5">
        <v>1120</v>
      </c>
      <c r="J28" s="5">
        <v>3580</v>
      </c>
      <c r="K28" s="5">
        <v>5520</v>
      </c>
      <c r="L28" s="5">
        <v>5850</v>
      </c>
      <c r="M28" s="5">
        <v>5850</v>
      </c>
      <c r="N28" s="5">
        <v>5850</v>
      </c>
      <c r="O28" s="5">
        <v>5850</v>
      </c>
      <c r="P28" s="5">
        <v>5850</v>
      </c>
      <c r="Q28" s="6">
        <f t="shared" si="16"/>
        <v>5850</v>
      </c>
      <c r="R28" s="6">
        <f t="shared" si="17"/>
        <v>5850</v>
      </c>
      <c r="S28" s="6">
        <f t="shared" si="18"/>
        <v>5850</v>
      </c>
      <c r="T28" s="6">
        <f t="shared" si="19"/>
        <v>5520</v>
      </c>
      <c r="U28" s="6">
        <f t="shared" si="20"/>
        <v>3580</v>
      </c>
      <c r="V28" s="7">
        <f t="shared" si="21"/>
        <v>1120</v>
      </c>
      <c r="W28" s="7">
        <f t="shared" si="22"/>
        <v>1120</v>
      </c>
      <c r="X28" s="7">
        <f t="shared" si="23"/>
        <v>345</v>
      </c>
      <c r="Y28" s="7">
        <f t="shared" si="24"/>
        <v>152</v>
      </c>
      <c r="Z28" s="7">
        <f t="shared" si="25"/>
        <v>152</v>
      </c>
      <c r="AA28" s="7">
        <f t="shared" si="26"/>
        <v>0</v>
      </c>
      <c r="AB28" s="7">
        <f t="shared" si="27"/>
        <v>0</v>
      </c>
      <c r="AC28" s="7">
        <f t="shared" si="28"/>
        <v>75</v>
      </c>
      <c r="AD28" s="8">
        <f t="shared" si="13"/>
        <v>5850</v>
      </c>
    </row>
    <row r="29" spans="1:30" x14ac:dyDescent="0.25">
      <c r="A29" s="2" t="s">
        <v>8</v>
      </c>
      <c r="B29" s="5">
        <v>75</v>
      </c>
      <c r="C29" s="5">
        <v>0</v>
      </c>
      <c r="D29" s="5">
        <v>0</v>
      </c>
      <c r="E29" s="5">
        <v>152</v>
      </c>
      <c r="F29" s="5">
        <v>152</v>
      </c>
      <c r="G29" s="5">
        <v>345</v>
      </c>
      <c r="H29" s="5">
        <v>1120</v>
      </c>
      <c r="I29" s="5">
        <v>1120</v>
      </c>
      <c r="J29" s="5">
        <v>3770</v>
      </c>
      <c r="K29" s="5">
        <v>4420</v>
      </c>
      <c r="L29" s="5">
        <v>4420</v>
      </c>
      <c r="M29" s="5">
        <v>4420</v>
      </c>
      <c r="N29" s="5">
        <v>4420</v>
      </c>
      <c r="O29" s="5">
        <v>4420</v>
      </c>
      <c r="P29" s="5">
        <v>4420</v>
      </c>
      <c r="Q29" s="6">
        <f t="shared" si="16"/>
        <v>4420</v>
      </c>
      <c r="R29" s="6">
        <f t="shared" si="17"/>
        <v>4420</v>
      </c>
      <c r="S29" s="6">
        <f t="shared" si="18"/>
        <v>4420</v>
      </c>
      <c r="T29" s="6">
        <f t="shared" si="19"/>
        <v>4420</v>
      </c>
      <c r="U29" s="6">
        <f t="shared" si="20"/>
        <v>3770</v>
      </c>
      <c r="V29" s="7">
        <f t="shared" si="21"/>
        <v>1120</v>
      </c>
      <c r="W29" s="7">
        <f t="shared" si="22"/>
        <v>1120</v>
      </c>
      <c r="X29" s="7">
        <f t="shared" si="23"/>
        <v>345</v>
      </c>
      <c r="Y29" s="7">
        <f t="shared" si="24"/>
        <v>152</v>
      </c>
      <c r="Z29" s="7">
        <f t="shared" si="25"/>
        <v>152</v>
      </c>
      <c r="AA29" s="7">
        <f t="shared" si="26"/>
        <v>0</v>
      </c>
      <c r="AB29" s="7">
        <f t="shared" si="27"/>
        <v>0</v>
      </c>
      <c r="AC29" s="7">
        <f t="shared" si="28"/>
        <v>75</v>
      </c>
      <c r="AD29" s="8">
        <f t="shared" si="13"/>
        <v>4420</v>
      </c>
    </row>
    <row r="30" spans="1:30" x14ac:dyDescent="0.25">
      <c r="A30" s="2" t="s">
        <v>9</v>
      </c>
      <c r="B30" s="5">
        <v>75</v>
      </c>
      <c r="C30" s="5">
        <v>0</v>
      </c>
      <c r="D30" s="5">
        <v>0</v>
      </c>
      <c r="E30" s="5">
        <v>152</v>
      </c>
      <c r="F30" s="5">
        <v>152</v>
      </c>
      <c r="G30" s="5">
        <v>305</v>
      </c>
      <c r="H30" s="5">
        <f>IF(INPUT!$E$4="RailCorp",2930,1120)</f>
        <v>2930</v>
      </c>
      <c r="I30" s="5">
        <f>IF(INPUT!$E$4="RailCorp",3795,1120)</f>
        <v>3795</v>
      </c>
      <c r="J30" s="5">
        <f>IF(INPUT!$E$4="RailCorp",4396,3240)</f>
        <v>4396</v>
      </c>
      <c r="K30" s="5">
        <f>IF(INPUT!$E$4="RailCorp",4406,3240)</f>
        <v>4406</v>
      </c>
      <c r="L30" s="5">
        <f>IF(INPUT!$E$4="RailCorp",4406,3795)</f>
        <v>4406</v>
      </c>
      <c r="M30" s="5">
        <f>IF(INPUT!$E$4="RailCorp",4406,4396)</f>
        <v>4406</v>
      </c>
      <c r="N30" s="5">
        <v>4406</v>
      </c>
      <c r="O30" s="5">
        <v>4406</v>
      </c>
      <c r="P30" s="5">
        <v>4406</v>
      </c>
      <c r="Q30" s="6">
        <f t="shared" si="16"/>
        <v>4406</v>
      </c>
      <c r="R30" s="6">
        <f t="shared" si="17"/>
        <v>4406</v>
      </c>
      <c r="S30" s="6">
        <f t="shared" si="18"/>
        <v>4406</v>
      </c>
      <c r="T30" s="6">
        <f t="shared" si="19"/>
        <v>4406</v>
      </c>
      <c r="U30" s="6">
        <f t="shared" si="20"/>
        <v>4396</v>
      </c>
      <c r="V30" s="7">
        <f t="shared" si="21"/>
        <v>3795</v>
      </c>
      <c r="W30" s="7">
        <f t="shared" si="22"/>
        <v>2930</v>
      </c>
      <c r="X30" s="7">
        <f t="shared" si="23"/>
        <v>305</v>
      </c>
      <c r="Y30" s="7">
        <f t="shared" si="24"/>
        <v>152</v>
      </c>
      <c r="Z30" s="7">
        <f t="shared" si="25"/>
        <v>152</v>
      </c>
      <c r="AA30" s="7">
        <f t="shared" si="26"/>
        <v>0</v>
      </c>
      <c r="AB30" s="7">
        <f t="shared" si="27"/>
        <v>0</v>
      </c>
      <c r="AC30" s="7">
        <f t="shared" si="28"/>
        <v>75</v>
      </c>
      <c r="AD30" s="8">
        <f t="shared" si="13"/>
        <v>4406</v>
      </c>
    </row>
    <row r="31" spans="1:30" x14ac:dyDescent="0.25">
      <c r="A31" s="2" t="s">
        <v>10</v>
      </c>
      <c r="B31" s="5">
        <v>75</v>
      </c>
      <c r="C31" s="5">
        <v>0</v>
      </c>
      <c r="D31" s="5">
        <v>0</v>
      </c>
      <c r="E31" s="5">
        <v>152</v>
      </c>
      <c r="F31" s="5">
        <v>152</v>
      </c>
      <c r="G31" s="5">
        <v>305</v>
      </c>
      <c r="H31" s="5">
        <v>1120</v>
      </c>
      <c r="I31" s="5">
        <v>1120</v>
      </c>
      <c r="J31" s="5">
        <v>3720</v>
      </c>
      <c r="K31" s="5">
        <v>4420</v>
      </c>
      <c r="L31" s="5">
        <v>4420</v>
      </c>
      <c r="M31" s="5">
        <v>4420</v>
      </c>
      <c r="N31" s="5">
        <v>4420</v>
      </c>
      <c r="O31" s="5">
        <v>4420</v>
      </c>
      <c r="P31" s="5">
        <v>4420</v>
      </c>
      <c r="Q31" s="6">
        <f t="shared" si="16"/>
        <v>4420</v>
      </c>
      <c r="R31" s="6">
        <f t="shared" si="17"/>
        <v>4420</v>
      </c>
      <c r="S31" s="6">
        <f t="shared" si="18"/>
        <v>4420</v>
      </c>
      <c r="T31" s="6">
        <f t="shared" si="19"/>
        <v>4420</v>
      </c>
      <c r="U31" s="6">
        <f t="shared" si="20"/>
        <v>3720</v>
      </c>
      <c r="V31" s="7">
        <f t="shared" si="21"/>
        <v>1120</v>
      </c>
      <c r="W31" s="7">
        <f t="shared" si="22"/>
        <v>1120</v>
      </c>
      <c r="X31" s="7">
        <f t="shared" si="23"/>
        <v>305</v>
      </c>
      <c r="Y31" s="7">
        <f t="shared" si="24"/>
        <v>152</v>
      </c>
      <c r="Z31" s="7">
        <f t="shared" si="25"/>
        <v>152</v>
      </c>
      <c r="AA31" s="7">
        <f t="shared" si="26"/>
        <v>0</v>
      </c>
      <c r="AB31" s="7">
        <f t="shared" si="27"/>
        <v>0</v>
      </c>
      <c r="AC31" s="7">
        <f t="shared" si="28"/>
        <v>75</v>
      </c>
      <c r="AD31" s="8">
        <f t="shared" si="13"/>
        <v>4420</v>
      </c>
    </row>
    <row r="32" spans="1:30" x14ac:dyDescent="0.25">
      <c r="A32" s="2" t="s">
        <v>11</v>
      </c>
      <c r="B32" s="5">
        <v>75</v>
      </c>
      <c r="C32" s="5">
        <v>0</v>
      </c>
      <c r="D32" s="5">
        <v>0</v>
      </c>
      <c r="E32" s="5">
        <v>152</v>
      </c>
      <c r="F32" s="5">
        <v>152</v>
      </c>
      <c r="G32" s="5">
        <v>305</v>
      </c>
      <c r="H32" s="5">
        <v>1120</v>
      </c>
      <c r="I32" s="5">
        <v>1120</v>
      </c>
      <c r="J32" s="5">
        <v>3660</v>
      </c>
      <c r="K32" s="5">
        <v>4420</v>
      </c>
      <c r="L32" s="5">
        <v>4420</v>
      </c>
      <c r="M32" s="5">
        <v>4420</v>
      </c>
      <c r="N32" s="5">
        <v>4420</v>
      </c>
      <c r="O32" s="5">
        <v>4420</v>
      </c>
      <c r="P32" s="5">
        <v>4420</v>
      </c>
      <c r="Q32" s="6">
        <f t="shared" si="16"/>
        <v>4420</v>
      </c>
      <c r="R32" s="6">
        <f t="shared" si="17"/>
        <v>4420</v>
      </c>
      <c r="S32" s="6">
        <f t="shared" si="18"/>
        <v>4420</v>
      </c>
      <c r="T32" s="6">
        <f t="shared" si="19"/>
        <v>4420</v>
      </c>
      <c r="U32" s="6">
        <f t="shared" si="20"/>
        <v>3660</v>
      </c>
      <c r="V32" s="7">
        <f t="shared" si="21"/>
        <v>1120</v>
      </c>
      <c r="W32" s="7">
        <f t="shared" si="22"/>
        <v>1120</v>
      </c>
      <c r="X32" s="7">
        <f t="shared" si="23"/>
        <v>305</v>
      </c>
      <c r="Y32" s="7">
        <f t="shared" si="24"/>
        <v>152</v>
      </c>
      <c r="Z32" s="7">
        <f t="shared" si="25"/>
        <v>152</v>
      </c>
      <c r="AA32" s="7">
        <f t="shared" si="26"/>
        <v>0</v>
      </c>
      <c r="AB32" s="7">
        <f t="shared" si="27"/>
        <v>0</v>
      </c>
      <c r="AC32" s="7">
        <f t="shared" si="28"/>
        <v>75</v>
      </c>
      <c r="AD32" s="8">
        <f t="shared" si="13"/>
        <v>4420</v>
      </c>
    </row>
    <row r="33" spans="1:30" x14ac:dyDescent="0.25">
      <c r="A33" s="2" t="s">
        <v>12</v>
      </c>
      <c r="B33" s="5">
        <v>75</v>
      </c>
      <c r="C33" s="5">
        <v>0</v>
      </c>
      <c r="D33" s="5">
        <v>0</v>
      </c>
      <c r="E33" s="5">
        <v>152</v>
      </c>
      <c r="F33" s="5">
        <v>152</v>
      </c>
      <c r="G33" s="5">
        <v>1219</v>
      </c>
      <c r="H33" s="5">
        <v>1219</v>
      </c>
      <c r="I33" s="5">
        <v>1270</v>
      </c>
      <c r="J33" s="5">
        <v>1270</v>
      </c>
      <c r="K33" s="5">
        <v>3048</v>
      </c>
      <c r="L33" s="5">
        <v>3658</v>
      </c>
      <c r="M33" s="5">
        <v>4343</v>
      </c>
      <c r="N33" s="5">
        <v>4343</v>
      </c>
      <c r="O33" s="5">
        <v>4343</v>
      </c>
      <c r="P33" s="5">
        <v>4343</v>
      </c>
      <c r="Q33" s="6">
        <f t="shared" si="16"/>
        <v>4343</v>
      </c>
      <c r="R33" s="6">
        <f t="shared" si="17"/>
        <v>4343</v>
      </c>
      <c r="S33" s="6">
        <f t="shared" si="18"/>
        <v>3658</v>
      </c>
      <c r="T33" s="6">
        <f t="shared" si="19"/>
        <v>3048</v>
      </c>
      <c r="U33" s="6">
        <f t="shared" si="20"/>
        <v>1270</v>
      </c>
      <c r="V33" s="7">
        <f t="shared" si="21"/>
        <v>1270</v>
      </c>
      <c r="W33" s="7">
        <f t="shared" si="22"/>
        <v>1219</v>
      </c>
      <c r="X33" s="7">
        <f t="shared" si="23"/>
        <v>1219</v>
      </c>
      <c r="Y33" s="7">
        <f t="shared" si="24"/>
        <v>152</v>
      </c>
      <c r="Z33" s="7">
        <f t="shared" si="25"/>
        <v>152</v>
      </c>
      <c r="AA33" s="7">
        <f t="shared" si="26"/>
        <v>0</v>
      </c>
      <c r="AB33" s="7">
        <f t="shared" si="27"/>
        <v>0</v>
      </c>
      <c r="AC33" s="7">
        <f t="shared" si="28"/>
        <v>75</v>
      </c>
      <c r="AD33" s="8">
        <f t="shared" si="13"/>
        <v>4343</v>
      </c>
    </row>
    <row r="34" spans="1:30" x14ac:dyDescent="0.25">
      <c r="A34" s="2" t="s">
        <v>13</v>
      </c>
      <c r="B34" s="5">
        <v>102</v>
      </c>
      <c r="C34" s="5">
        <v>0</v>
      </c>
      <c r="D34" s="5">
        <v>0</v>
      </c>
      <c r="E34" s="5">
        <v>178</v>
      </c>
      <c r="F34" s="5">
        <v>178</v>
      </c>
      <c r="G34" s="5">
        <v>381</v>
      </c>
      <c r="H34" s="5">
        <v>1220</v>
      </c>
      <c r="I34" s="5">
        <v>1220</v>
      </c>
      <c r="J34" s="5">
        <v>3048</v>
      </c>
      <c r="K34" s="5">
        <v>3658</v>
      </c>
      <c r="L34" s="5">
        <v>4343</v>
      </c>
      <c r="M34" s="5">
        <v>4343</v>
      </c>
      <c r="N34" s="5">
        <v>4343</v>
      </c>
      <c r="O34" s="5">
        <v>4343</v>
      </c>
      <c r="P34" s="5">
        <v>4343</v>
      </c>
      <c r="Q34" s="6">
        <f t="shared" si="16"/>
        <v>4343</v>
      </c>
      <c r="R34" s="6">
        <f t="shared" si="17"/>
        <v>4343</v>
      </c>
      <c r="S34" s="6">
        <f t="shared" si="18"/>
        <v>4343</v>
      </c>
      <c r="T34" s="6">
        <f t="shared" si="19"/>
        <v>3658</v>
      </c>
      <c r="U34" s="6">
        <f t="shared" si="20"/>
        <v>3048</v>
      </c>
      <c r="V34" s="7">
        <f t="shared" si="21"/>
        <v>1220</v>
      </c>
      <c r="W34" s="7">
        <f t="shared" si="22"/>
        <v>1220</v>
      </c>
      <c r="X34" s="7">
        <f t="shared" si="23"/>
        <v>381</v>
      </c>
      <c r="Y34" s="7">
        <f t="shared" si="24"/>
        <v>178</v>
      </c>
      <c r="Z34" s="7">
        <f t="shared" si="25"/>
        <v>178</v>
      </c>
      <c r="AA34" s="7">
        <f t="shared" si="26"/>
        <v>0</v>
      </c>
      <c r="AB34" s="7">
        <f t="shared" si="27"/>
        <v>0</v>
      </c>
      <c r="AC34" s="7">
        <f t="shared" si="28"/>
        <v>102</v>
      </c>
      <c r="AD34" s="8">
        <f t="shared" si="13"/>
        <v>4343</v>
      </c>
    </row>
    <row r="35" spans="1:30" x14ac:dyDescent="0.25">
      <c r="A35" s="2" t="s">
        <v>41</v>
      </c>
      <c r="B35" s="5">
        <v>75</v>
      </c>
      <c r="C35" s="5">
        <v>0</v>
      </c>
      <c r="D35" s="5">
        <v>0</v>
      </c>
      <c r="E35" s="5">
        <v>152</v>
      </c>
      <c r="F35" s="5">
        <v>152</v>
      </c>
      <c r="G35" s="5">
        <v>345</v>
      </c>
      <c r="H35" s="5">
        <v>1120</v>
      </c>
      <c r="I35" s="5">
        <v>1120</v>
      </c>
      <c r="J35" s="5">
        <v>3580</v>
      </c>
      <c r="K35" s="5">
        <v>3916</v>
      </c>
      <c r="L35" s="5">
        <v>4040</v>
      </c>
      <c r="M35" s="5">
        <v>4190</v>
      </c>
      <c r="N35" s="5">
        <v>4270</v>
      </c>
      <c r="O35" s="5">
        <v>4270</v>
      </c>
      <c r="P35" s="5">
        <v>4270</v>
      </c>
      <c r="Q35" s="6">
        <f t="shared" si="16"/>
        <v>4270</v>
      </c>
      <c r="R35" s="6">
        <f t="shared" si="17"/>
        <v>4190</v>
      </c>
      <c r="S35" s="6">
        <f t="shared" si="18"/>
        <v>4040</v>
      </c>
      <c r="T35" s="6">
        <f t="shared" si="19"/>
        <v>3916</v>
      </c>
      <c r="U35" s="6">
        <f t="shared" si="20"/>
        <v>3580</v>
      </c>
      <c r="V35" s="7">
        <f t="shared" si="21"/>
        <v>1120</v>
      </c>
      <c r="W35" s="7">
        <f t="shared" si="22"/>
        <v>1120</v>
      </c>
      <c r="X35" s="7">
        <f t="shared" si="23"/>
        <v>345</v>
      </c>
      <c r="Y35" s="7">
        <f t="shared" si="24"/>
        <v>152</v>
      </c>
      <c r="Z35" s="7">
        <f t="shared" si="25"/>
        <v>152</v>
      </c>
      <c r="AA35" s="7">
        <f t="shared" si="26"/>
        <v>0</v>
      </c>
      <c r="AB35" s="7">
        <f t="shared" si="27"/>
        <v>0</v>
      </c>
      <c r="AC35" s="7">
        <f t="shared" si="28"/>
        <v>75</v>
      </c>
      <c r="AD35" s="8">
        <f t="shared" si="13"/>
        <v>4270</v>
      </c>
    </row>
    <row r="36" spans="1:30" x14ac:dyDescent="0.25">
      <c r="A36" s="2" t="str">
        <f>A17</f>
        <v>Maximum Container Loading (3010mm)</v>
      </c>
      <c r="B36" s="3">
        <v>75</v>
      </c>
      <c r="C36" s="3">
        <v>0</v>
      </c>
      <c r="D36" s="3">
        <v>0</v>
      </c>
      <c r="E36" s="3">
        <v>152</v>
      </c>
      <c r="F36" s="3">
        <v>152</v>
      </c>
      <c r="G36" s="3">
        <v>345</v>
      </c>
      <c r="H36" s="3">
        <v>1020</v>
      </c>
      <c r="I36" s="3">
        <v>1020</v>
      </c>
      <c r="J36" s="3">
        <v>4030</v>
      </c>
      <c r="K36" s="3">
        <v>4030</v>
      </c>
      <c r="L36" s="3">
        <v>4030</v>
      </c>
      <c r="M36" s="3">
        <v>4030</v>
      </c>
      <c r="N36" s="3">
        <v>4030</v>
      </c>
      <c r="O36" s="3">
        <v>4030</v>
      </c>
      <c r="P36" s="324">
        <v>4030</v>
      </c>
      <c r="Q36" s="6">
        <f t="shared" si="16"/>
        <v>4030</v>
      </c>
      <c r="R36" s="6">
        <f t="shared" si="17"/>
        <v>4030</v>
      </c>
      <c r="S36" s="6">
        <f t="shared" si="18"/>
        <v>4030</v>
      </c>
      <c r="T36" s="6">
        <f t="shared" si="19"/>
        <v>4030</v>
      </c>
      <c r="U36" s="6">
        <f t="shared" si="20"/>
        <v>4030</v>
      </c>
      <c r="V36" s="6">
        <f t="shared" si="21"/>
        <v>1020</v>
      </c>
      <c r="W36" s="6">
        <f t="shared" si="22"/>
        <v>1020</v>
      </c>
      <c r="X36" s="6">
        <f t="shared" si="23"/>
        <v>345</v>
      </c>
      <c r="Y36" s="6">
        <f t="shared" si="24"/>
        <v>152</v>
      </c>
      <c r="Z36" s="6">
        <f t="shared" si="25"/>
        <v>152</v>
      </c>
      <c r="AA36" s="6">
        <f t="shared" si="26"/>
        <v>0</v>
      </c>
      <c r="AB36" s="6">
        <f t="shared" si="27"/>
        <v>0</v>
      </c>
      <c r="AC36" s="6">
        <f t="shared" si="28"/>
        <v>75</v>
      </c>
      <c r="AD36" s="8">
        <f t="shared" si="13"/>
        <v>4030</v>
      </c>
    </row>
    <row r="37" spans="1:30" x14ac:dyDescent="0.25">
      <c r="A37" s="2" t="str">
        <f>A18</f>
        <v>ANZR</v>
      </c>
      <c r="B37" s="321">
        <v>75</v>
      </c>
      <c r="C37" s="321">
        <v>0</v>
      </c>
      <c r="D37" s="321">
        <v>0</v>
      </c>
      <c r="E37" s="321">
        <v>152</v>
      </c>
      <c r="F37" s="321">
        <v>152</v>
      </c>
      <c r="G37" s="321">
        <v>200</v>
      </c>
      <c r="H37" s="321">
        <v>1120</v>
      </c>
      <c r="I37" s="321">
        <v>1120</v>
      </c>
      <c r="J37" s="321">
        <v>3660</v>
      </c>
      <c r="K37" s="321">
        <v>4570</v>
      </c>
      <c r="L37" s="321">
        <v>4570</v>
      </c>
      <c r="M37" s="321">
        <v>4570</v>
      </c>
      <c r="N37" s="321">
        <v>4570</v>
      </c>
      <c r="O37" s="321">
        <v>4570</v>
      </c>
      <c r="P37" s="324">
        <v>4570</v>
      </c>
      <c r="Q37" s="6">
        <f t="shared" si="16"/>
        <v>4570</v>
      </c>
      <c r="R37" s="6">
        <f t="shared" si="17"/>
        <v>4570</v>
      </c>
      <c r="S37" s="6">
        <f t="shared" si="18"/>
        <v>4570</v>
      </c>
      <c r="T37" s="6">
        <f t="shared" si="19"/>
        <v>4570</v>
      </c>
      <c r="U37" s="6">
        <f t="shared" si="20"/>
        <v>3660</v>
      </c>
      <c r="V37" s="6">
        <f t="shared" si="21"/>
        <v>1120</v>
      </c>
      <c r="W37" s="6">
        <f t="shared" si="22"/>
        <v>1120</v>
      </c>
      <c r="X37" s="6">
        <f t="shared" si="23"/>
        <v>200</v>
      </c>
      <c r="Y37" s="6">
        <f t="shared" si="24"/>
        <v>152</v>
      </c>
      <c r="Z37" s="6">
        <f t="shared" si="25"/>
        <v>152</v>
      </c>
      <c r="AA37" s="6">
        <f t="shared" si="26"/>
        <v>0</v>
      </c>
      <c r="AB37" s="6">
        <f t="shared" si="27"/>
        <v>0</v>
      </c>
      <c r="AC37" s="6">
        <f t="shared" si="28"/>
        <v>75</v>
      </c>
      <c r="AD37" s="8">
        <f t="shared" si="13"/>
        <v>4570</v>
      </c>
    </row>
    <row r="38" spans="1:30" x14ac:dyDescent="0.25">
      <c r="A38" s="2" t="str">
        <f>A19</f>
        <v>Mermec MTP Vehicle</v>
      </c>
      <c r="B38" s="5">
        <v>75</v>
      </c>
      <c r="C38" s="5">
        <v>0</v>
      </c>
      <c r="D38" s="5">
        <v>0</v>
      </c>
      <c r="E38" s="5">
        <v>152</v>
      </c>
      <c r="F38" s="5">
        <v>152</v>
      </c>
      <c r="G38" s="5">
        <v>345</v>
      </c>
      <c r="H38" s="5">
        <v>1120</v>
      </c>
      <c r="I38" s="5">
        <v>1120</v>
      </c>
      <c r="J38" s="5">
        <v>3580</v>
      </c>
      <c r="K38" s="5">
        <v>3916</v>
      </c>
      <c r="L38" s="5">
        <v>4040</v>
      </c>
      <c r="M38" s="5">
        <v>4190</v>
      </c>
      <c r="N38" s="5">
        <v>4270</v>
      </c>
      <c r="O38" s="5">
        <v>4270</v>
      </c>
      <c r="P38" s="5">
        <v>4270</v>
      </c>
      <c r="Q38" s="6">
        <f t="shared" ref="Q38:Q39" si="29">N38</f>
        <v>4270</v>
      </c>
      <c r="R38" s="6">
        <f t="shared" ref="R38:R39" si="30">M38</f>
        <v>4190</v>
      </c>
      <c r="S38" s="6">
        <f t="shared" ref="S38:S39" si="31">L38</f>
        <v>4040</v>
      </c>
      <c r="T38" s="6">
        <f t="shared" ref="T38:T39" si="32">K38</f>
        <v>3916</v>
      </c>
      <c r="U38" s="6">
        <f t="shared" ref="U38:U39" si="33">J38</f>
        <v>3580</v>
      </c>
      <c r="V38" s="6">
        <f t="shared" ref="V38:V39" si="34">I38</f>
        <v>1120</v>
      </c>
      <c r="W38" s="6">
        <f t="shared" ref="W38:W39" si="35">H38</f>
        <v>1120</v>
      </c>
      <c r="X38" s="6">
        <f t="shared" ref="X38:X39" si="36">G38</f>
        <v>345</v>
      </c>
      <c r="Y38" s="6">
        <f t="shared" ref="Y38:Y39" si="37">F38</f>
        <v>152</v>
      </c>
      <c r="Z38" s="6">
        <f t="shared" ref="Z38:Z39" si="38">E38</f>
        <v>152</v>
      </c>
      <c r="AA38" s="6">
        <f t="shared" ref="AA38:AA39" si="39">D38</f>
        <v>0</v>
      </c>
      <c r="AB38" s="6">
        <f t="shared" ref="AB38:AB39" si="40">C38</f>
        <v>0</v>
      </c>
      <c r="AC38" s="6">
        <f t="shared" ref="AC38:AC39" si="41">B38</f>
        <v>75</v>
      </c>
      <c r="AD38" s="8">
        <f t="shared" si="13"/>
        <v>4270</v>
      </c>
    </row>
    <row r="39" spans="1:30" x14ac:dyDescent="0.25">
      <c r="A39" s="2" t="str">
        <f>A20</f>
        <v>Rolling Stock Outline E</v>
      </c>
      <c r="B39" s="321">
        <v>75</v>
      </c>
      <c r="C39" s="321">
        <v>0</v>
      </c>
      <c r="D39" s="321">
        <v>0</v>
      </c>
      <c r="E39" s="321">
        <v>80</v>
      </c>
      <c r="F39" s="321">
        <v>80</v>
      </c>
      <c r="G39" s="321">
        <v>100</v>
      </c>
      <c r="H39" s="321">
        <v>100</v>
      </c>
      <c r="I39" s="321">
        <v>1120</v>
      </c>
      <c r="J39" s="321">
        <v>1120</v>
      </c>
      <c r="K39" s="321">
        <v>5900</v>
      </c>
      <c r="L39" s="321">
        <v>5900</v>
      </c>
      <c r="M39" s="321">
        <v>5900</v>
      </c>
      <c r="N39" s="321">
        <v>5900</v>
      </c>
      <c r="O39" s="321">
        <v>5900</v>
      </c>
      <c r="P39" s="324">
        <v>5900</v>
      </c>
      <c r="Q39" s="6">
        <f t="shared" si="29"/>
        <v>5900</v>
      </c>
      <c r="R39" s="6">
        <f t="shared" si="30"/>
        <v>5900</v>
      </c>
      <c r="S39" s="6">
        <f t="shared" si="31"/>
        <v>5900</v>
      </c>
      <c r="T39" s="6">
        <f t="shared" si="32"/>
        <v>5900</v>
      </c>
      <c r="U39" s="6">
        <f t="shared" si="33"/>
        <v>1120</v>
      </c>
      <c r="V39" s="6">
        <f t="shared" si="34"/>
        <v>1120</v>
      </c>
      <c r="W39" s="6">
        <f t="shared" si="35"/>
        <v>100</v>
      </c>
      <c r="X39" s="6">
        <f t="shared" si="36"/>
        <v>100</v>
      </c>
      <c r="Y39" s="6">
        <f t="shared" si="37"/>
        <v>80</v>
      </c>
      <c r="Z39" s="6">
        <f t="shared" si="38"/>
        <v>80</v>
      </c>
      <c r="AA39" s="6">
        <f t="shared" si="39"/>
        <v>0</v>
      </c>
      <c r="AB39" s="6">
        <f t="shared" si="40"/>
        <v>0</v>
      </c>
      <c r="AC39" s="6">
        <f t="shared" si="41"/>
        <v>75</v>
      </c>
      <c r="AD39" s="8">
        <f t="shared" si="13"/>
        <v>5900</v>
      </c>
    </row>
    <row r="40" spans="1:30" x14ac:dyDescent="0.25">
      <c r="A40" s="326"/>
      <c r="B40" s="328"/>
      <c r="C40" s="328"/>
      <c r="D40" s="328"/>
      <c r="E40" s="328"/>
      <c r="F40" s="328"/>
      <c r="G40" s="328"/>
      <c r="H40" s="328"/>
      <c r="I40" s="159"/>
      <c r="J40" s="159"/>
      <c r="K40" s="159"/>
      <c r="L40" s="159"/>
      <c r="M40" s="159"/>
      <c r="N40" s="159"/>
      <c r="O40" s="159"/>
      <c r="P40" s="159"/>
      <c r="Q40" s="339"/>
      <c r="R40" s="339"/>
      <c r="S40" s="339"/>
      <c r="T40" s="339"/>
      <c r="U40" s="339"/>
      <c r="V40" s="339"/>
      <c r="W40" s="339"/>
      <c r="X40" s="339"/>
      <c r="Y40" s="339"/>
      <c r="Z40" s="339"/>
      <c r="AA40" s="339"/>
      <c r="AB40" s="339"/>
      <c r="AC40" s="339"/>
      <c r="AD40" s="340"/>
    </row>
    <row r="41" spans="1:30" x14ac:dyDescent="0.25">
      <c r="A41" s="469" t="s">
        <v>173</v>
      </c>
      <c r="B41" s="469"/>
      <c r="C41" s="469"/>
      <c r="D41" s="469"/>
      <c r="E41" s="469"/>
      <c r="F41" s="469"/>
      <c r="G41" s="469"/>
      <c r="H41" s="470"/>
      <c r="I41" s="159"/>
      <c r="J41" s="159"/>
      <c r="K41" s="159"/>
      <c r="L41" s="159"/>
      <c r="M41" s="159"/>
      <c r="N41" s="159"/>
      <c r="O41" s="159"/>
      <c r="P41" s="159"/>
      <c r="Q41" s="339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39"/>
      <c r="AD41" s="340"/>
    </row>
    <row r="42" spans="1:30" x14ac:dyDescent="0.25">
      <c r="A42" s="342">
        <v>1</v>
      </c>
      <c r="B42" s="343">
        <v>2</v>
      </c>
      <c r="C42" s="344">
        <v>3</v>
      </c>
      <c r="D42" s="345">
        <v>4</v>
      </c>
      <c r="E42" s="345">
        <v>5</v>
      </c>
      <c r="F42" s="343">
        <v>6</v>
      </c>
      <c r="G42" s="346">
        <v>7</v>
      </c>
      <c r="H42" s="343">
        <v>8</v>
      </c>
    </row>
    <row r="43" spans="1:30" ht="12.5" x14ac:dyDescent="0.25">
      <c r="A43" s="12" t="s">
        <v>1</v>
      </c>
      <c r="B43" s="5" t="s">
        <v>27</v>
      </c>
      <c r="C43" s="5" t="s">
        <v>29</v>
      </c>
      <c r="D43" s="341" t="s">
        <v>174</v>
      </c>
      <c r="E43" s="341" t="s">
        <v>175</v>
      </c>
      <c r="F43" s="341" t="s">
        <v>177</v>
      </c>
      <c r="G43" s="341" t="s">
        <v>49</v>
      </c>
      <c r="H43" s="341" t="s">
        <v>176</v>
      </c>
    </row>
    <row r="44" spans="1:30" x14ac:dyDescent="0.25">
      <c r="A44" s="332" t="s">
        <v>3</v>
      </c>
      <c r="B44" s="333">
        <v>16155</v>
      </c>
      <c r="C44" s="333">
        <v>3353</v>
      </c>
      <c r="D44" s="333">
        <f>B44+(2*C44)</f>
        <v>22861</v>
      </c>
      <c r="E44" s="333">
        <f>2*AD4</f>
        <v>2970</v>
      </c>
      <c r="F44" s="333">
        <v>2</v>
      </c>
      <c r="G44" s="333">
        <v>50</v>
      </c>
      <c r="H44" s="333">
        <v>60</v>
      </c>
    </row>
    <row r="45" spans="1:30" x14ac:dyDescent="0.25">
      <c r="A45" s="332" t="s">
        <v>4</v>
      </c>
      <c r="B45" s="333">
        <v>16155</v>
      </c>
      <c r="C45" s="333">
        <v>3353</v>
      </c>
      <c r="D45" s="333">
        <f t="shared" ref="D45:D55" si="42">B45+(2*C45)</f>
        <v>22861</v>
      </c>
      <c r="E45" s="333">
        <f t="shared" ref="E45:E55" si="43">2*AD5</f>
        <v>2970</v>
      </c>
      <c r="F45" s="333">
        <v>2</v>
      </c>
      <c r="G45" s="333">
        <v>50</v>
      </c>
      <c r="H45" s="333">
        <v>60</v>
      </c>
    </row>
    <row r="46" spans="1:30" x14ac:dyDescent="0.25">
      <c r="A46" s="332" t="s">
        <v>5</v>
      </c>
      <c r="B46" s="333">
        <v>17300</v>
      </c>
      <c r="C46" s="333">
        <v>3603</v>
      </c>
      <c r="D46" s="333">
        <f t="shared" si="42"/>
        <v>24506</v>
      </c>
      <c r="E46" s="333">
        <f t="shared" si="43"/>
        <v>2870</v>
      </c>
      <c r="F46" s="333">
        <v>2</v>
      </c>
      <c r="G46" s="333">
        <v>50</v>
      </c>
      <c r="H46" s="333">
        <v>60</v>
      </c>
    </row>
    <row r="47" spans="1:30" x14ac:dyDescent="0.25">
      <c r="A47" s="332" t="s">
        <v>80</v>
      </c>
      <c r="B47" s="333">
        <v>16155</v>
      </c>
      <c r="C47" s="333">
        <v>3353</v>
      </c>
      <c r="D47" s="333">
        <f t="shared" si="42"/>
        <v>22861</v>
      </c>
      <c r="E47" s="333">
        <f t="shared" si="43"/>
        <v>2970</v>
      </c>
      <c r="F47" s="333">
        <v>2</v>
      </c>
      <c r="G47" s="333">
        <v>50</v>
      </c>
      <c r="H47" s="333">
        <v>60</v>
      </c>
    </row>
    <row r="48" spans="1:30" x14ac:dyDescent="0.25">
      <c r="A48" s="332" t="s">
        <v>6</v>
      </c>
      <c r="B48" s="333">
        <v>13000</v>
      </c>
      <c r="C48" s="333">
        <v>1500</v>
      </c>
      <c r="D48" s="333">
        <f t="shared" si="42"/>
        <v>16000</v>
      </c>
      <c r="E48" s="333">
        <f t="shared" si="43"/>
        <v>3050</v>
      </c>
      <c r="F48" s="333">
        <v>2</v>
      </c>
      <c r="G48" s="333">
        <v>50</v>
      </c>
      <c r="H48" s="333">
        <v>60</v>
      </c>
    </row>
    <row r="49" spans="1:8" x14ac:dyDescent="0.25">
      <c r="A49" s="332" t="s">
        <v>7</v>
      </c>
      <c r="B49" s="333">
        <v>17300</v>
      </c>
      <c r="C49" s="333">
        <v>3603</v>
      </c>
      <c r="D49" s="333">
        <f t="shared" si="42"/>
        <v>24506</v>
      </c>
      <c r="E49" s="333">
        <f t="shared" si="43"/>
        <v>2870</v>
      </c>
      <c r="F49" s="333">
        <v>2</v>
      </c>
      <c r="G49" s="333">
        <v>50</v>
      </c>
      <c r="H49" s="333">
        <v>60</v>
      </c>
    </row>
    <row r="50" spans="1:8" x14ac:dyDescent="0.25">
      <c r="A50" s="332" t="s">
        <v>8</v>
      </c>
      <c r="B50" s="333">
        <v>16155</v>
      </c>
      <c r="C50" s="333">
        <v>3353</v>
      </c>
      <c r="D50" s="333">
        <f t="shared" si="42"/>
        <v>22861</v>
      </c>
      <c r="E50" s="333">
        <f t="shared" si="43"/>
        <v>2970</v>
      </c>
      <c r="F50" s="333">
        <v>2</v>
      </c>
      <c r="G50" s="333">
        <v>50</v>
      </c>
      <c r="H50" s="333">
        <v>60</v>
      </c>
    </row>
    <row r="51" spans="1:8" x14ac:dyDescent="0.25">
      <c r="A51" s="332" t="s">
        <v>9</v>
      </c>
      <c r="B51" s="333">
        <v>13945</v>
      </c>
      <c r="C51" s="333">
        <v>2755</v>
      </c>
      <c r="D51" s="333">
        <f t="shared" si="42"/>
        <v>19455</v>
      </c>
      <c r="E51" s="333">
        <f t="shared" si="43"/>
        <v>3050</v>
      </c>
      <c r="F51" s="333">
        <v>2</v>
      </c>
      <c r="G51" s="333">
        <v>50</v>
      </c>
      <c r="H51" s="333">
        <v>60</v>
      </c>
    </row>
    <row r="52" spans="1:8" x14ac:dyDescent="0.25">
      <c r="A52" s="332" t="s">
        <v>10</v>
      </c>
      <c r="B52" s="333">
        <v>13945</v>
      </c>
      <c r="C52" s="333">
        <v>2755</v>
      </c>
      <c r="D52" s="333">
        <f t="shared" si="42"/>
        <v>19455</v>
      </c>
      <c r="E52" s="333">
        <f t="shared" si="43"/>
        <v>3080</v>
      </c>
      <c r="F52" s="333">
        <v>2</v>
      </c>
      <c r="G52" s="333">
        <v>50</v>
      </c>
      <c r="H52" s="333">
        <v>60</v>
      </c>
    </row>
    <row r="53" spans="1:8" x14ac:dyDescent="0.25">
      <c r="A53" s="332" t="s">
        <v>11</v>
      </c>
      <c r="B53" s="333">
        <v>13105</v>
      </c>
      <c r="C53" s="333">
        <v>2998</v>
      </c>
      <c r="D53" s="333">
        <f t="shared" si="42"/>
        <v>19101</v>
      </c>
      <c r="E53" s="333">
        <f t="shared" si="43"/>
        <v>3200</v>
      </c>
      <c r="F53" s="333">
        <v>2</v>
      </c>
      <c r="G53" s="333">
        <v>50</v>
      </c>
      <c r="H53" s="333">
        <v>60</v>
      </c>
    </row>
    <row r="54" spans="1:8" x14ac:dyDescent="0.25">
      <c r="A54" s="332" t="s">
        <v>12</v>
      </c>
      <c r="B54" s="333">
        <v>15240</v>
      </c>
      <c r="C54" s="333">
        <v>1980</v>
      </c>
      <c r="D54" s="333">
        <f t="shared" si="42"/>
        <v>19200</v>
      </c>
      <c r="E54" s="333">
        <f t="shared" si="43"/>
        <v>3734</v>
      </c>
      <c r="F54" s="333">
        <v>2</v>
      </c>
      <c r="G54" s="333">
        <v>50</v>
      </c>
      <c r="H54" s="333">
        <v>60</v>
      </c>
    </row>
    <row r="55" spans="1:8" x14ac:dyDescent="0.25">
      <c r="A55" s="332" t="s">
        <v>13</v>
      </c>
      <c r="B55" s="333">
        <v>18300</v>
      </c>
      <c r="C55" s="333">
        <v>0</v>
      </c>
      <c r="D55" s="333">
        <f t="shared" si="42"/>
        <v>18300</v>
      </c>
      <c r="E55" s="333">
        <f t="shared" si="43"/>
        <v>3580</v>
      </c>
      <c r="F55" s="333">
        <v>1</v>
      </c>
      <c r="G55" s="333">
        <v>0</v>
      </c>
      <c r="H55" s="333">
        <v>25</v>
      </c>
    </row>
    <row r="56" spans="1:8" x14ac:dyDescent="0.25">
      <c r="A56" s="332" t="s">
        <v>41</v>
      </c>
      <c r="B56" s="333">
        <v>16155</v>
      </c>
      <c r="C56" s="333">
        <v>3353</v>
      </c>
      <c r="D56" s="333">
        <v>22860</v>
      </c>
      <c r="E56" s="333">
        <v>2970</v>
      </c>
      <c r="F56" s="333">
        <v>2</v>
      </c>
      <c r="G56" s="333">
        <v>50</v>
      </c>
      <c r="H56" s="333">
        <v>60</v>
      </c>
    </row>
    <row r="57" spans="1:8" x14ac:dyDescent="0.25">
      <c r="A57" s="332" t="str">
        <f>A17</f>
        <v>Maximum Container Loading (3010mm)</v>
      </c>
      <c r="B57" s="333"/>
      <c r="C57" s="333"/>
      <c r="D57" s="333"/>
      <c r="E57" s="333"/>
      <c r="F57" s="333"/>
      <c r="G57" s="333"/>
      <c r="H57" s="333"/>
    </row>
    <row r="58" spans="1:8" x14ac:dyDescent="0.25">
      <c r="A58" s="332" t="str">
        <f>A18</f>
        <v>ANZR</v>
      </c>
      <c r="B58" s="333"/>
      <c r="C58" s="333"/>
      <c r="D58" s="333"/>
      <c r="E58" s="333"/>
      <c r="F58" s="333"/>
      <c r="G58" s="333"/>
      <c r="H58" s="333"/>
    </row>
    <row r="59" spans="1:8" x14ac:dyDescent="0.25">
      <c r="A59" s="332" t="str">
        <f>A19</f>
        <v>Mermec MTP Vehicle</v>
      </c>
      <c r="B59" s="333">
        <v>16500</v>
      </c>
      <c r="C59" s="333">
        <v>3000</v>
      </c>
      <c r="D59" s="333">
        <v>22500</v>
      </c>
      <c r="E59" s="333">
        <v>2968</v>
      </c>
      <c r="F59" s="333">
        <v>2</v>
      </c>
      <c r="G59" s="333">
        <v>50</v>
      </c>
      <c r="H59" s="333">
        <v>60</v>
      </c>
    </row>
    <row r="60" spans="1:8" x14ac:dyDescent="0.25">
      <c r="A60" s="332" t="str">
        <f>A20</f>
        <v>Rolling Stock Outline E</v>
      </c>
      <c r="B60" s="333">
        <v>18300</v>
      </c>
      <c r="C60" s="333">
        <v>3800</v>
      </c>
      <c r="D60" s="333">
        <v>25900</v>
      </c>
      <c r="E60" s="333">
        <v>3200</v>
      </c>
      <c r="F60" s="333">
        <v>2</v>
      </c>
      <c r="G60" s="333">
        <v>50</v>
      </c>
      <c r="H60" s="333">
        <v>60</v>
      </c>
    </row>
    <row r="62" spans="1:8" x14ac:dyDescent="0.25">
      <c r="F62" s="325"/>
    </row>
    <row r="63" spans="1:8" x14ac:dyDescent="0.25">
      <c r="A63" s="468" t="s">
        <v>103</v>
      </c>
      <c r="B63" s="469"/>
      <c r="C63" s="469"/>
      <c r="D63" s="469"/>
      <c r="E63" s="469"/>
      <c r="F63" s="469"/>
      <c r="G63" s="470"/>
    </row>
    <row r="64" spans="1:8" s="13" customFormat="1" x14ac:dyDescent="0.25">
      <c r="A64" s="338">
        <v>1</v>
      </c>
      <c r="B64" s="329">
        <v>2</v>
      </c>
      <c r="C64" s="330">
        <v>3</v>
      </c>
      <c r="D64" s="330">
        <v>4</v>
      </c>
      <c r="E64" s="330">
        <v>5</v>
      </c>
      <c r="F64" s="330">
        <v>6</v>
      </c>
      <c r="G64" s="331">
        <v>7</v>
      </c>
    </row>
    <row r="65" spans="1:8" x14ac:dyDescent="0.25">
      <c r="A65" s="349" t="s">
        <v>20</v>
      </c>
      <c r="B65" s="350" t="s">
        <v>24</v>
      </c>
      <c r="C65" s="350" t="s">
        <v>25</v>
      </c>
      <c r="D65" s="350" t="s">
        <v>75</v>
      </c>
      <c r="E65" s="350" t="s">
        <v>167</v>
      </c>
      <c r="F65" s="350" t="s">
        <v>168</v>
      </c>
      <c r="G65" s="350" t="s">
        <v>124</v>
      </c>
    </row>
    <row r="66" spans="1:8" x14ac:dyDescent="0.25">
      <c r="A66" s="332" t="s">
        <v>21</v>
      </c>
      <c r="B66" s="333">
        <v>25</v>
      </c>
      <c r="C66" s="333">
        <v>35</v>
      </c>
      <c r="D66" s="333">
        <v>15</v>
      </c>
      <c r="E66" s="333">
        <v>100</v>
      </c>
      <c r="F66" s="334">
        <v>150</v>
      </c>
      <c r="G66" s="333">
        <v>10</v>
      </c>
    </row>
    <row r="67" spans="1:8" x14ac:dyDescent="0.25">
      <c r="A67" s="332" t="s">
        <v>22</v>
      </c>
      <c r="B67" s="333">
        <v>15</v>
      </c>
      <c r="C67" s="333">
        <v>25</v>
      </c>
      <c r="D67" s="333">
        <v>15</v>
      </c>
      <c r="E67" s="333">
        <v>100</v>
      </c>
      <c r="F67" s="335">
        <v>150</v>
      </c>
      <c r="G67" s="333">
        <v>10</v>
      </c>
    </row>
    <row r="68" spans="1:8" x14ac:dyDescent="0.25">
      <c r="A68" s="332" t="s">
        <v>23</v>
      </c>
      <c r="B68" s="333">
        <v>10</v>
      </c>
      <c r="C68" s="333">
        <v>20</v>
      </c>
      <c r="D68" s="333">
        <v>15</v>
      </c>
      <c r="E68" s="333">
        <v>50</v>
      </c>
      <c r="F68" s="333">
        <v>50</v>
      </c>
      <c r="G68" s="333">
        <v>10</v>
      </c>
    </row>
    <row r="70" spans="1:8" x14ac:dyDescent="0.25">
      <c r="A70" s="467" t="s">
        <v>104</v>
      </c>
      <c r="B70" s="467"/>
      <c r="C70" s="467"/>
      <c r="D70" s="467"/>
      <c r="E70" s="467"/>
      <c r="F70" s="467"/>
    </row>
    <row r="71" spans="1:8" x14ac:dyDescent="0.25">
      <c r="A71" s="338">
        <v>1</v>
      </c>
      <c r="B71" s="329">
        <v>2</v>
      </c>
      <c r="C71" s="330">
        <v>3</v>
      </c>
      <c r="D71" s="330">
        <v>4</v>
      </c>
      <c r="E71" s="330">
        <v>5</v>
      </c>
      <c r="F71" s="330">
        <v>6</v>
      </c>
      <c r="G71" s="336"/>
      <c r="H71" s="276"/>
    </row>
    <row r="72" spans="1:8" x14ac:dyDescent="0.25">
      <c r="A72" s="2" t="s">
        <v>20</v>
      </c>
      <c r="B72" s="322" t="s">
        <v>24</v>
      </c>
      <c r="C72" s="322" t="s">
        <v>25</v>
      </c>
      <c r="D72" s="322" t="s">
        <v>75</v>
      </c>
      <c r="E72" s="322" t="s">
        <v>76</v>
      </c>
      <c r="F72" s="322" t="s">
        <v>124</v>
      </c>
      <c r="G72" s="337"/>
    </row>
    <row r="73" spans="1:8" x14ac:dyDescent="0.25">
      <c r="A73" s="332" t="s">
        <v>21</v>
      </c>
      <c r="B73" s="333">
        <v>25</v>
      </c>
      <c r="C73" s="333">
        <v>35</v>
      </c>
      <c r="D73" s="333">
        <v>15</v>
      </c>
      <c r="E73" s="333">
        <v>150</v>
      </c>
      <c r="F73" s="333">
        <v>10</v>
      </c>
    </row>
    <row r="74" spans="1:8" x14ac:dyDescent="0.25">
      <c r="A74" s="332" t="s">
        <v>22</v>
      </c>
      <c r="B74" s="333">
        <v>25</v>
      </c>
      <c r="C74" s="333">
        <v>35</v>
      </c>
      <c r="D74" s="333">
        <v>15</v>
      </c>
      <c r="E74" s="333">
        <v>150</v>
      </c>
      <c r="F74" s="333">
        <v>10</v>
      </c>
    </row>
    <row r="75" spans="1:8" x14ac:dyDescent="0.25">
      <c r="A75" s="332" t="s">
        <v>23</v>
      </c>
      <c r="B75" s="333">
        <v>25</v>
      </c>
      <c r="C75" s="333">
        <v>35</v>
      </c>
      <c r="D75" s="333">
        <v>15</v>
      </c>
      <c r="E75" s="333">
        <v>150</v>
      </c>
      <c r="F75" s="333">
        <v>10</v>
      </c>
    </row>
    <row r="76" spans="1:8" x14ac:dyDescent="0.25">
      <c r="A76" s="326"/>
      <c r="B76" s="326"/>
      <c r="C76" s="326"/>
      <c r="D76" s="326"/>
      <c r="E76" s="326"/>
    </row>
    <row r="77" spans="1:8" x14ac:dyDescent="0.25">
      <c r="A77" s="464" t="s">
        <v>182</v>
      </c>
      <c r="B77" s="464"/>
      <c r="C77" s="464"/>
      <c r="D77" s="464"/>
      <c r="E77" s="465"/>
    </row>
    <row r="78" spans="1:8" x14ac:dyDescent="0.25">
      <c r="A78" s="338">
        <v>1</v>
      </c>
      <c r="B78" s="329">
        <v>2</v>
      </c>
      <c r="C78" s="330">
        <v>3</v>
      </c>
      <c r="D78" s="330">
        <v>4</v>
      </c>
      <c r="E78" s="330">
        <v>5</v>
      </c>
      <c r="F78" s="337"/>
    </row>
    <row r="79" spans="1:8" x14ac:dyDescent="0.25">
      <c r="A79" s="2"/>
      <c r="B79" s="324" t="s">
        <v>176</v>
      </c>
      <c r="C79" s="324" t="s">
        <v>167</v>
      </c>
      <c r="D79" s="324" t="s">
        <v>168</v>
      </c>
      <c r="E79" s="324" t="s">
        <v>124</v>
      </c>
    </row>
    <row r="80" spans="1:8" x14ac:dyDescent="0.25">
      <c r="A80" s="353" t="s">
        <v>166</v>
      </c>
      <c r="B80" s="353"/>
      <c r="C80" s="353"/>
      <c r="D80" s="353"/>
      <c r="E80" s="353"/>
    </row>
    <row r="81" spans="1:7" x14ac:dyDescent="0.25">
      <c r="A81" s="353" t="s">
        <v>178</v>
      </c>
      <c r="B81" s="354">
        <v>6</v>
      </c>
      <c r="C81" s="354">
        <v>50</v>
      </c>
      <c r="D81" s="354">
        <v>0</v>
      </c>
      <c r="E81" s="354">
        <v>5</v>
      </c>
    </row>
    <row r="82" spans="1:7" x14ac:dyDescent="0.25">
      <c r="A82" s="353" t="s">
        <v>179</v>
      </c>
      <c r="B82" s="354">
        <v>6</v>
      </c>
      <c r="C82" s="354">
        <v>15</v>
      </c>
      <c r="D82" s="354">
        <v>15</v>
      </c>
      <c r="E82" s="354">
        <v>5</v>
      </c>
    </row>
    <row r="83" spans="1:7" x14ac:dyDescent="0.25">
      <c r="A83" s="353" t="s">
        <v>180</v>
      </c>
      <c r="B83" s="354">
        <v>15</v>
      </c>
      <c r="C83" s="354">
        <v>50</v>
      </c>
      <c r="D83" s="354">
        <v>0</v>
      </c>
      <c r="E83" s="354">
        <v>6</v>
      </c>
    </row>
    <row r="84" spans="1:7" x14ac:dyDescent="0.25">
      <c r="A84" s="353" t="s">
        <v>181</v>
      </c>
      <c r="B84" s="354">
        <v>15</v>
      </c>
      <c r="C84" s="354">
        <v>15</v>
      </c>
      <c r="D84" s="354">
        <v>25</v>
      </c>
      <c r="E84" s="354">
        <v>6</v>
      </c>
    </row>
    <row r="86" spans="1:7" x14ac:dyDescent="0.25">
      <c r="A86" s="463" t="s">
        <v>216</v>
      </c>
      <c r="B86" s="463"/>
      <c r="C86" s="463"/>
      <c r="D86" s="463"/>
      <c r="E86" s="463"/>
      <c r="F86" s="463"/>
      <c r="G86" s="463"/>
    </row>
    <row r="87" spans="1:7" x14ac:dyDescent="0.25">
      <c r="A87" s="388">
        <v>1</v>
      </c>
      <c r="B87" s="388">
        <v>2</v>
      </c>
      <c r="C87" s="388">
        <v>3</v>
      </c>
      <c r="D87" s="388">
        <v>4</v>
      </c>
      <c r="E87" s="388">
        <v>5</v>
      </c>
      <c r="F87" s="388">
        <v>6</v>
      </c>
      <c r="G87" s="388">
        <v>7</v>
      </c>
    </row>
    <row r="88" spans="1:7" x14ac:dyDescent="0.25">
      <c r="A88" s="324" t="s">
        <v>217</v>
      </c>
      <c r="B88" s="324" t="s">
        <v>220</v>
      </c>
      <c r="C88" s="324" t="s">
        <v>221</v>
      </c>
      <c r="D88" s="324" t="s">
        <v>218</v>
      </c>
      <c r="E88" s="324" t="s">
        <v>219</v>
      </c>
      <c r="F88" s="324" t="s">
        <v>222</v>
      </c>
      <c r="G88" s="324" t="s">
        <v>223</v>
      </c>
    </row>
    <row r="89" spans="1:7" x14ac:dyDescent="0.25">
      <c r="A89" s="332" t="s">
        <v>8</v>
      </c>
      <c r="B89" s="333">
        <v>1575</v>
      </c>
      <c r="C89" s="333">
        <v>1590</v>
      </c>
      <c r="D89" s="333">
        <v>32600</v>
      </c>
      <c r="E89" s="333">
        <v>0.67</v>
      </c>
      <c r="F89" s="333">
        <v>1065</v>
      </c>
      <c r="G89" s="333">
        <v>1200</v>
      </c>
    </row>
    <row r="90" spans="1:7" x14ac:dyDescent="0.25">
      <c r="A90" s="332" t="s">
        <v>9</v>
      </c>
      <c r="B90" s="333">
        <v>1650</v>
      </c>
      <c r="C90" s="333">
        <v>1665</v>
      </c>
      <c r="D90" s="333">
        <v>24300</v>
      </c>
      <c r="E90" s="333">
        <v>0.75</v>
      </c>
      <c r="F90" s="333">
        <v>1065</v>
      </c>
      <c r="G90" s="333">
        <v>1200</v>
      </c>
    </row>
    <row r="91" spans="1:7" x14ac:dyDescent="0.25">
      <c r="A91" s="332" t="s">
        <v>10</v>
      </c>
      <c r="B91" s="333">
        <v>1650</v>
      </c>
      <c r="C91" s="333">
        <f>IF(INPUT!C6="Concrete",1665,IF(INPUT!C6="Wooden",1680,""))</f>
        <v>1665</v>
      </c>
      <c r="D91" s="333">
        <v>24300</v>
      </c>
      <c r="E91" s="333">
        <v>0.75</v>
      </c>
      <c r="F91" s="333">
        <v>1065</v>
      </c>
      <c r="G91" s="333">
        <v>1200</v>
      </c>
    </row>
    <row r="92" spans="1:7" x14ac:dyDescent="0.25">
      <c r="A92" s="332" t="s">
        <v>11</v>
      </c>
      <c r="B92" s="333">
        <v>1700</v>
      </c>
      <c r="C92" s="333">
        <v>1715</v>
      </c>
      <c r="D92" s="333">
        <v>21500</v>
      </c>
      <c r="E92" s="333">
        <v>0.75</v>
      </c>
      <c r="F92" s="333">
        <v>1065</v>
      </c>
      <c r="G92" s="333">
        <v>1200</v>
      </c>
    </row>
    <row r="93" spans="1:7" x14ac:dyDescent="0.25">
      <c r="A93" s="332" t="s">
        <v>164</v>
      </c>
      <c r="B93" s="333">
        <v>1700</v>
      </c>
      <c r="C93" s="333">
        <v>1715</v>
      </c>
      <c r="D93" s="333">
        <v>42000</v>
      </c>
      <c r="E93" s="333">
        <v>0.75</v>
      </c>
      <c r="F93" s="333">
        <v>1065</v>
      </c>
      <c r="G93" s="333">
        <v>1200</v>
      </c>
    </row>
  </sheetData>
  <mergeCells count="7">
    <mergeCell ref="A86:G86"/>
    <mergeCell ref="A77:E77"/>
    <mergeCell ref="B2:AD2"/>
    <mergeCell ref="B22:AD22"/>
    <mergeCell ref="A70:F70"/>
    <mergeCell ref="A63:G63"/>
    <mergeCell ref="A41:H41"/>
  </mergeCells>
  <phoneticPr fontId="6" type="noConversion"/>
  <pageMargins left="0.7" right="0.7" top="0.75" bottom="0.75" header="0.3" footer="0.3"/>
  <pageSetup paperSize="12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C2"/>
  <sheetViews>
    <sheetView workbookViewId="0">
      <selection activeCell="C21" sqref="C21"/>
    </sheetView>
  </sheetViews>
  <sheetFormatPr defaultRowHeight="11.5" x14ac:dyDescent="0.25"/>
  <cols>
    <col min="1" max="1" width="9.3984375" bestFit="1" customWidth="1"/>
  </cols>
  <sheetData>
    <row r="1" spans="1:3" x14ac:dyDescent="0.25">
      <c r="A1" t="str">
        <f>'RAILS OUTPUT'!C1</f>
        <v>xy=0.716359161747562</v>
      </c>
      <c r="B1">
        <f>'RAILS OUTPUT'!D1</f>
        <v>5.7209302325581399E-2</v>
      </c>
      <c r="C1">
        <f>'RAILS OUTPUT'!E1</f>
        <v>0</v>
      </c>
    </row>
    <row r="2" spans="1:3" x14ac:dyDescent="0.25">
      <c r="A2" t="str">
        <f>'RAILS OUTPUT'!C2</f>
        <v>xy=-0.7175</v>
      </c>
      <c r="B2">
        <f>'RAILS OUTPUT'!D2</f>
        <v>0</v>
      </c>
      <c r="C2">
        <f>'RAILS OUTPUT'!E2</f>
        <v>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A1:E2"/>
  <sheetViews>
    <sheetView workbookViewId="0">
      <selection activeCell="B12" sqref="B12"/>
    </sheetView>
  </sheetViews>
  <sheetFormatPr defaultRowHeight="11.5" x14ac:dyDescent="0.25"/>
  <cols>
    <col min="3" max="3" width="19.69921875" bestFit="1" customWidth="1"/>
  </cols>
  <sheetData>
    <row r="1" spans="1:5" x14ac:dyDescent="0.25">
      <c r="A1" t="s">
        <v>86</v>
      </c>
      <c r="B1">
        <f>Calculations!D126/1000</f>
        <v>0.71635916174756176</v>
      </c>
      <c r="C1" t="str">
        <f>CONCATENATE(A1,B1)</f>
        <v>xy=0.716359161747562</v>
      </c>
      <c r="D1">
        <f>Calculations!E126/1000</f>
        <v>5.7209302325581399E-2</v>
      </c>
      <c r="E1">
        <v>0</v>
      </c>
    </row>
    <row r="2" spans="1:5" x14ac:dyDescent="0.25">
      <c r="A2" t="s">
        <v>86</v>
      </c>
      <c r="B2">
        <f>Calculations!D127/1000</f>
        <v>-0.71750000000000003</v>
      </c>
      <c r="C2" t="str">
        <f>CONCATENATE(A2,B2)</f>
        <v>xy=-0.7175</v>
      </c>
      <c r="D2">
        <f>Calculations!E127/1000</f>
        <v>0</v>
      </c>
      <c r="E2">
        <v>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G28"/>
  <sheetViews>
    <sheetView workbookViewId="0">
      <selection activeCell="L12" sqref="L12"/>
    </sheetView>
  </sheetViews>
  <sheetFormatPr defaultRowHeight="11.5" x14ac:dyDescent="0.25"/>
  <cols>
    <col min="5" max="5" width="33.3984375" customWidth="1"/>
  </cols>
  <sheetData>
    <row r="1" spans="1:7" x14ac:dyDescent="0.25">
      <c r="A1" t="s">
        <v>86</v>
      </c>
      <c r="B1" s="100">
        <f>Calculations!F94/1000</f>
        <v>-0.92930281044330065</v>
      </c>
      <c r="C1" s="100">
        <f>Calculations!G94/1000</f>
        <v>0.19301197465254624</v>
      </c>
      <c r="D1">
        <v>0</v>
      </c>
      <c r="E1" t="str">
        <f>CONCATENATE(A1,B1)</f>
        <v>xy=-0.929302810443301</v>
      </c>
      <c r="F1" s="100">
        <f>C1</f>
        <v>0.19301197465254624</v>
      </c>
      <c r="G1" s="100">
        <f>D1</f>
        <v>0</v>
      </c>
    </row>
    <row r="2" spans="1:7" x14ac:dyDescent="0.25">
      <c r="A2" t="s">
        <v>86</v>
      </c>
      <c r="B2" s="100">
        <f>Calculations!F95/1000</f>
        <v>-0.92320239502839807</v>
      </c>
      <c r="C2" s="100">
        <f>Calculations!G95/1000</f>
        <v>0.11826048682945592</v>
      </c>
      <c r="D2">
        <v>0</v>
      </c>
      <c r="E2" t="str">
        <f t="shared" ref="E2:E28" si="0">CONCATENATE(A2,B2)</f>
        <v>xy=-0.923202395028398</v>
      </c>
      <c r="F2" s="100">
        <f t="shared" ref="F2:F28" si="1">C2</f>
        <v>0.11826048682945592</v>
      </c>
      <c r="G2" s="100">
        <f t="shared" ref="G2:G28" si="2">D2</f>
        <v>0</v>
      </c>
    </row>
    <row r="3" spans="1:7" x14ac:dyDescent="0.25">
      <c r="A3" t="s">
        <v>86</v>
      </c>
      <c r="B3" s="100">
        <f>Calculations!F96/1000</f>
        <v>-1.1833375726527524</v>
      </c>
      <c r="C3" s="100">
        <f>Calculations!G96/1000</f>
        <v>9.7031041185594774E-2</v>
      </c>
      <c r="D3">
        <v>0</v>
      </c>
      <c r="E3" t="str">
        <f t="shared" si="0"/>
        <v>xy=-1.18333757265275</v>
      </c>
      <c r="F3" s="100">
        <f t="shared" si="1"/>
        <v>9.7031041185594774E-2</v>
      </c>
      <c r="G3" s="100">
        <f t="shared" si="2"/>
        <v>0</v>
      </c>
    </row>
    <row r="4" spans="1:7" x14ac:dyDescent="0.25">
      <c r="A4" t="s">
        <v>86</v>
      </c>
      <c r="B4" s="100">
        <f>Calculations!F97/1000</f>
        <v>-1.1957010812269553</v>
      </c>
      <c r="C4" s="100">
        <f>Calculations!G97/1000</f>
        <v>0.24852738984039102</v>
      </c>
      <c r="D4">
        <v>0</v>
      </c>
      <c r="E4" t="str">
        <f t="shared" si="0"/>
        <v>xy=-1.19570108122696</v>
      </c>
      <c r="F4" s="100">
        <f t="shared" si="1"/>
        <v>0.24852738984039102</v>
      </c>
      <c r="G4" s="100">
        <f t="shared" si="2"/>
        <v>0</v>
      </c>
    </row>
    <row r="5" spans="1:7" x14ac:dyDescent="0.25">
      <c r="A5" t="s">
        <v>86</v>
      </c>
      <c r="B5" s="100">
        <f>Calculations!F98/1000</f>
        <v>-1.4747733024331589</v>
      </c>
      <c r="C5" s="100">
        <f>Calculations!G98/1000</f>
        <v>0.2257525056247546</v>
      </c>
      <c r="D5">
        <v>0</v>
      </c>
      <c r="E5" t="str">
        <f t="shared" si="0"/>
        <v>xy=-1.47477330243316</v>
      </c>
      <c r="F5" s="100">
        <f t="shared" si="1"/>
        <v>0.2257525056247546</v>
      </c>
      <c r="G5" s="100">
        <f t="shared" si="2"/>
        <v>0</v>
      </c>
    </row>
    <row r="6" spans="1:7" x14ac:dyDescent="0.25">
      <c r="A6" t="s">
        <v>86</v>
      </c>
      <c r="B6" s="100">
        <f>Calculations!F99/1000</f>
        <v>-1.7197096007583188</v>
      </c>
      <c r="C6" s="100">
        <f>Calculations!G99/1000</f>
        <v>0.39940506035047213</v>
      </c>
      <c r="D6">
        <v>0</v>
      </c>
      <c r="E6" t="str">
        <f t="shared" si="0"/>
        <v>xy=-1.71970960075832</v>
      </c>
      <c r="F6" s="100">
        <f t="shared" si="1"/>
        <v>0.39940506035047213</v>
      </c>
      <c r="G6" s="100">
        <f t="shared" si="2"/>
        <v>0</v>
      </c>
    </row>
    <row r="7" spans="1:7" x14ac:dyDescent="0.25">
      <c r="A7" t="s">
        <v>86</v>
      </c>
      <c r="B7" s="100">
        <f>Calculations!F100/1000</f>
        <v>-1.782747226712313</v>
      </c>
      <c r="C7" s="100">
        <f>Calculations!G100/1000</f>
        <v>1.1718371011890722</v>
      </c>
      <c r="D7">
        <v>0</v>
      </c>
      <c r="E7" t="str">
        <f t="shared" si="0"/>
        <v>xy=-1.78274722671231</v>
      </c>
      <c r="F7" s="100">
        <f t="shared" si="1"/>
        <v>1.1718371011890722</v>
      </c>
      <c r="G7" s="100">
        <f t="shared" si="2"/>
        <v>0</v>
      </c>
    </row>
    <row r="8" spans="1:7" x14ac:dyDescent="0.25">
      <c r="A8" t="s">
        <v>86</v>
      </c>
      <c r="B8" s="100">
        <f>Calculations!F101/1000</f>
        <v>-1.8176312543630886</v>
      </c>
      <c r="C8" s="100">
        <f>Calculations!G101/1000</f>
        <v>1.1689902406621173</v>
      </c>
      <c r="D8">
        <v>0</v>
      </c>
      <c r="E8" t="str">
        <f t="shared" si="0"/>
        <v>xy=-1.81763125436309</v>
      </c>
      <c r="F8" s="100">
        <f t="shared" si="1"/>
        <v>1.1689902406621173</v>
      </c>
      <c r="G8" s="100">
        <f t="shared" si="2"/>
        <v>0</v>
      </c>
    </row>
    <row r="9" spans="1:7" x14ac:dyDescent="0.25">
      <c r="A9" t="s">
        <v>86</v>
      </c>
      <c r="B9" s="100">
        <f>Calculations!F102/1000</f>
        <v>-2.0177248799718956</v>
      </c>
      <c r="C9" s="100">
        <f>Calculations!G102/1000</f>
        <v>3.6208390412594795</v>
      </c>
      <c r="D9">
        <v>0</v>
      </c>
      <c r="E9" t="str">
        <f t="shared" si="0"/>
        <v>xy=-2.0177248799719</v>
      </c>
      <c r="F9" s="100">
        <f t="shared" si="1"/>
        <v>3.6208390412594795</v>
      </c>
      <c r="G9" s="100">
        <f t="shared" si="2"/>
        <v>0</v>
      </c>
    </row>
    <row r="10" spans="1:7" x14ac:dyDescent="0.25">
      <c r="A10" t="s">
        <v>86</v>
      </c>
      <c r="B10" s="100">
        <f>Calculations!F103/1000</f>
        <v>-1.8108334125183096</v>
      </c>
      <c r="C10" s="100">
        <f>Calculations!G103/1000</f>
        <v>3.9748403416736187</v>
      </c>
      <c r="D10">
        <v>0</v>
      </c>
      <c r="E10" t="str">
        <f t="shared" si="0"/>
        <v>xy=-1.81083341251831</v>
      </c>
      <c r="F10" s="100">
        <f t="shared" si="1"/>
        <v>3.9748403416736187</v>
      </c>
      <c r="G10" s="100">
        <f t="shared" si="2"/>
        <v>0</v>
      </c>
    </row>
    <row r="11" spans="1:7" x14ac:dyDescent="0.25">
      <c r="A11" t="s">
        <v>86</v>
      </c>
      <c r="B11" s="100">
        <f>Calculations!F104/1000</f>
        <v>-1.6365324293739922</v>
      </c>
      <c r="C11" s="100">
        <f>Calculations!G104/1000</f>
        <v>4.1134771595645541</v>
      </c>
      <c r="D11">
        <v>0</v>
      </c>
      <c r="E11" t="str">
        <f t="shared" si="0"/>
        <v>xy=-1.63653242937399</v>
      </c>
      <c r="F11" s="100">
        <f t="shared" si="1"/>
        <v>4.1134771595645541</v>
      </c>
      <c r="G11" s="100">
        <f t="shared" si="2"/>
        <v>0</v>
      </c>
    </row>
    <row r="12" spans="1:7" x14ac:dyDescent="0.25">
      <c r="A12" t="s">
        <v>86</v>
      </c>
      <c r="B12" s="100">
        <f>Calculations!F105/1000</f>
        <v>-1.3447438763898973</v>
      </c>
      <c r="C12" s="100">
        <f>Calculations!G105/1000</f>
        <v>4.2877884912313382</v>
      </c>
      <c r="D12">
        <v>0</v>
      </c>
      <c r="E12" t="str">
        <f t="shared" si="0"/>
        <v>xy=-1.3447438763899</v>
      </c>
      <c r="F12" s="100">
        <f t="shared" si="1"/>
        <v>4.2877884912313382</v>
      </c>
      <c r="G12" s="100">
        <f t="shared" si="2"/>
        <v>0</v>
      </c>
    </row>
    <row r="13" spans="1:7" x14ac:dyDescent="0.25">
      <c r="A13" t="s">
        <v>86</v>
      </c>
      <c r="B13" s="100">
        <f>Calculations!F106/1000</f>
        <v>-1.0472616023518926</v>
      </c>
      <c r="C13" s="100">
        <f>Calculations!G106/1000</f>
        <v>4.3923317675965725</v>
      </c>
      <c r="D13">
        <v>0</v>
      </c>
      <c r="E13" t="str">
        <f t="shared" si="0"/>
        <v>xy=-1.04726160235189</v>
      </c>
      <c r="F13" s="100">
        <f t="shared" si="1"/>
        <v>4.3923317675965725</v>
      </c>
      <c r="G13" s="100">
        <f t="shared" si="2"/>
        <v>0</v>
      </c>
    </row>
    <row r="14" spans="1:7" x14ac:dyDescent="0.25">
      <c r="A14" t="s">
        <v>86</v>
      </c>
      <c r="B14" s="100">
        <f>Calculations!F107/1000</f>
        <v>-0.59376924289181143</v>
      </c>
      <c r="C14" s="100">
        <f>Calculations!G107/1000</f>
        <v>4.4293409544469835</v>
      </c>
      <c r="D14">
        <v>0</v>
      </c>
      <c r="E14" t="str">
        <f t="shared" si="0"/>
        <v>xy=-0.593769242891811</v>
      </c>
      <c r="F14" s="100">
        <f t="shared" si="1"/>
        <v>4.4293409544469835</v>
      </c>
      <c r="G14" s="100">
        <f t="shared" si="2"/>
        <v>0</v>
      </c>
    </row>
    <row r="15" spans="1:7" x14ac:dyDescent="0.25">
      <c r="A15" t="s">
        <v>86</v>
      </c>
      <c r="B15" s="100">
        <f>Calculations!F108/1000</f>
        <v>0.24653193913348195</v>
      </c>
      <c r="C15" s="100">
        <f>Calculations!G108/1000</f>
        <v>4.4513438538037926</v>
      </c>
      <c r="D15">
        <v>0</v>
      </c>
      <c r="E15" t="str">
        <f t="shared" si="0"/>
        <v>xy=0.246531939133482</v>
      </c>
      <c r="F15" s="100">
        <f t="shared" si="1"/>
        <v>4.4513438538037926</v>
      </c>
      <c r="G15" s="100">
        <f t="shared" si="2"/>
        <v>0</v>
      </c>
    </row>
    <row r="16" spans="1:7" x14ac:dyDescent="0.25">
      <c r="A16" t="s">
        <v>86</v>
      </c>
      <c r="B16" s="100">
        <f>Calculations!F109/1000</f>
        <v>0.24653193913348195</v>
      </c>
      <c r="C16" s="100">
        <f>Calculations!G109/1000</f>
        <v>4.4513438538037926</v>
      </c>
      <c r="D16">
        <v>0</v>
      </c>
      <c r="E16" t="str">
        <f t="shared" si="0"/>
        <v>xy=0.246531939133482</v>
      </c>
      <c r="F16" s="100">
        <f t="shared" si="1"/>
        <v>4.4513438538037926</v>
      </c>
      <c r="G16" s="100">
        <f t="shared" si="2"/>
        <v>0</v>
      </c>
    </row>
    <row r="17" spans="1:7" x14ac:dyDescent="0.25">
      <c r="A17" t="s">
        <v>86</v>
      </c>
      <c r="B17" s="100">
        <f>Calculations!F110/1000</f>
        <v>0.70153130201618519</v>
      </c>
      <c r="C17" s="100">
        <f>Calculations!G110/1000</f>
        <v>4.4505824233511948</v>
      </c>
      <c r="D17">
        <v>0</v>
      </c>
      <c r="E17" t="str">
        <f t="shared" si="0"/>
        <v>xy=0.701531302016185</v>
      </c>
      <c r="F17" s="100">
        <f t="shared" si="1"/>
        <v>4.4505824233511948</v>
      </c>
      <c r="G17" s="100">
        <f t="shared" si="2"/>
        <v>0</v>
      </c>
    </row>
    <row r="18" spans="1:7" x14ac:dyDescent="0.25">
      <c r="A18" t="s">
        <v>86</v>
      </c>
      <c r="B18" s="100">
        <f>Calculations!F111/1000</f>
        <v>1.0063969970557822</v>
      </c>
      <c r="C18" s="100">
        <f>Calculations!G111/1000</f>
        <v>4.3700721259475497</v>
      </c>
      <c r="D18">
        <v>0</v>
      </c>
      <c r="E18" t="str">
        <f t="shared" si="0"/>
        <v>xy=1.00639699705578</v>
      </c>
      <c r="F18" s="100">
        <f t="shared" si="1"/>
        <v>4.3700721259475497</v>
      </c>
      <c r="G18" s="100">
        <f t="shared" si="2"/>
        <v>0</v>
      </c>
    </row>
    <row r="19" spans="1:7" x14ac:dyDescent="0.25">
      <c r="A19" t="s">
        <v>86</v>
      </c>
      <c r="B19" s="100">
        <f>Calculations!F112/1000</f>
        <v>1.311145548948826</v>
      </c>
      <c r="C19" s="100">
        <f>Calculations!G112/1000</f>
        <v>4.2195619265619495</v>
      </c>
      <c r="D19">
        <v>0</v>
      </c>
      <c r="E19" t="str">
        <f t="shared" si="0"/>
        <v>xy=1.31114554894883</v>
      </c>
      <c r="F19" s="100">
        <f t="shared" si="1"/>
        <v>4.2195619265619495</v>
      </c>
      <c r="G19" s="100">
        <f t="shared" si="2"/>
        <v>0</v>
      </c>
    </row>
    <row r="20" spans="1:7" x14ac:dyDescent="0.25">
      <c r="A20" t="s">
        <v>86</v>
      </c>
      <c r="B20" s="100">
        <f>Calculations!F113/1000</f>
        <v>1.4959377791843822</v>
      </c>
      <c r="C20" s="100">
        <f>Calculations!G113/1000</f>
        <v>4.0952525075923116</v>
      </c>
      <c r="D20">
        <v>0</v>
      </c>
      <c r="E20" t="str">
        <f t="shared" si="0"/>
        <v>xy=1.49593777918438</v>
      </c>
      <c r="F20" s="100">
        <f t="shared" si="1"/>
        <v>4.0952525075923116</v>
      </c>
      <c r="G20" s="100">
        <f t="shared" si="2"/>
        <v>0</v>
      </c>
    </row>
    <row r="21" spans="1:7" x14ac:dyDescent="0.25">
      <c r="A21" t="s">
        <v>86</v>
      </c>
      <c r="B21" s="100">
        <f>Calculations!F114/1000</f>
        <v>1.7303751630203434</v>
      </c>
      <c r="C21" s="100">
        <f>Calculations!G114/1000</f>
        <v>3.7588597118012155</v>
      </c>
      <c r="D21">
        <v>0</v>
      </c>
      <c r="E21" t="str">
        <f t="shared" si="0"/>
        <v>xy=1.73037516302034</v>
      </c>
      <c r="F21" s="100">
        <f t="shared" si="1"/>
        <v>3.7588597118012155</v>
      </c>
      <c r="G21" s="100">
        <f t="shared" si="2"/>
        <v>0</v>
      </c>
    </row>
    <row r="22" spans="1:7" x14ac:dyDescent="0.25">
      <c r="A22" t="s">
        <v>86</v>
      </c>
      <c r="B22" s="100">
        <f>Calculations!F115/1000</f>
        <v>1.726258418155751</v>
      </c>
      <c r="C22" s="100">
        <f>Calculations!G115/1000</f>
        <v>1.2988631564353914</v>
      </c>
      <c r="D22">
        <v>0</v>
      </c>
      <c r="E22" t="str">
        <f t="shared" si="0"/>
        <v>xy=1.72625841815575</v>
      </c>
      <c r="F22" s="100">
        <f t="shared" si="1"/>
        <v>1.2988631564353914</v>
      </c>
      <c r="G22" s="100">
        <f t="shared" si="2"/>
        <v>0</v>
      </c>
    </row>
    <row r="23" spans="1:7" x14ac:dyDescent="0.25">
      <c r="A23" t="s">
        <v>86</v>
      </c>
      <c r="B23" s="100">
        <f>Calculations!F116/1000</f>
        <v>1.6912584671647735</v>
      </c>
      <c r="C23" s="100">
        <f>Calculations!G116/1000</f>
        <v>1.2989217280086682</v>
      </c>
      <c r="D23">
        <v>0</v>
      </c>
      <c r="E23" t="str">
        <f t="shared" si="0"/>
        <v>xy=1.69125846716477</v>
      </c>
      <c r="F23" s="100">
        <f t="shared" si="1"/>
        <v>1.2989217280086682</v>
      </c>
      <c r="G23" s="100">
        <f t="shared" si="2"/>
        <v>0</v>
      </c>
    </row>
    <row r="24" spans="1:7" x14ac:dyDescent="0.25">
      <c r="A24" t="s">
        <v>86</v>
      </c>
      <c r="B24" s="100">
        <f>Calculations!F117/1000</f>
        <v>1.6899615251850744</v>
      </c>
      <c r="C24" s="100">
        <f>Calculations!G117/1000</f>
        <v>0.52392281320845935</v>
      </c>
      <c r="D24">
        <v>0</v>
      </c>
      <c r="E24" t="str">
        <f t="shared" si="0"/>
        <v>xy=1.68996152518507</v>
      </c>
      <c r="F24" s="100">
        <f t="shared" si="1"/>
        <v>0.52392281320845935</v>
      </c>
      <c r="G24" s="100">
        <f t="shared" si="2"/>
        <v>0</v>
      </c>
    </row>
    <row r="25" spans="1:7" x14ac:dyDescent="0.25">
      <c r="A25" t="s">
        <v>86</v>
      </c>
      <c r="B25" s="100">
        <f>Calculations!F118/1000</f>
        <v>1.4596388668545845</v>
      </c>
      <c r="C25" s="100">
        <f>Calculations!G118/1000</f>
        <v>0.33130798236831793</v>
      </c>
      <c r="D25">
        <v>0</v>
      </c>
      <c r="E25" t="str">
        <f t="shared" si="0"/>
        <v>xy=1.45963886685458</v>
      </c>
      <c r="F25" s="100">
        <f t="shared" si="1"/>
        <v>0.33130798236831793</v>
      </c>
      <c r="G25" s="100">
        <f t="shared" si="2"/>
        <v>0</v>
      </c>
    </row>
    <row r="26" spans="1:7" x14ac:dyDescent="0.25">
      <c r="A26" t="s">
        <v>86</v>
      </c>
      <c r="B26" s="100">
        <f>Calculations!F119/1000</f>
        <v>1.179639258926767</v>
      </c>
      <c r="C26" s="100">
        <f>Calculations!G119/1000</f>
        <v>0.33177655495453173</v>
      </c>
      <c r="D26">
        <v>0</v>
      </c>
      <c r="E26" t="str">
        <f t="shared" si="0"/>
        <v>xy=1.17963925892677</v>
      </c>
      <c r="F26" s="100">
        <f t="shared" si="1"/>
        <v>0.33177655495453173</v>
      </c>
      <c r="G26" s="100">
        <f t="shared" si="2"/>
        <v>0</v>
      </c>
    </row>
    <row r="27" spans="1:7" x14ac:dyDescent="0.25">
      <c r="A27" t="s">
        <v>86</v>
      </c>
      <c r="B27" s="100">
        <f>Calculations!F120/1000</f>
        <v>1.1793848909513938</v>
      </c>
      <c r="C27" s="100">
        <f>Calculations!G120/1000</f>
        <v>0.17977676779371665</v>
      </c>
      <c r="D27">
        <v>0</v>
      </c>
      <c r="E27" t="str">
        <f t="shared" si="0"/>
        <v>xy=1.17938489095139</v>
      </c>
      <c r="F27" s="100">
        <f t="shared" si="1"/>
        <v>0.17977676779371665</v>
      </c>
      <c r="G27" s="100">
        <f t="shared" si="2"/>
        <v>0</v>
      </c>
    </row>
    <row r="28" spans="1:7" x14ac:dyDescent="0.25">
      <c r="A28" t="s">
        <v>86</v>
      </c>
      <c r="B28" s="100">
        <f>Calculations!F121/1000</f>
        <v>0.91838525641867841</v>
      </c>
      <c r="C28" s="100">
        <f>Calculations!G121/1000</f>
        <v>0.18021354438300888</v>
      </c>
      <c r="D28">
        <v>0</v>
      </c>
      <c r="E28" t="str">
        <f t="shared" si="0"/>
        <v>xy=0.918385256418678</v>
      </c>
      <c r="F28" s="100">
        <f t="shared" si="1"/>
        <v>0.18021354438300888</v>
      </c>
      <c r="G28" s="100">
        <f t="shared" si="2"/>
        <v>0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C28"/>
  <sheetViews>
    <sheetView workbookViewId="0"/>
  </sheetViews>
  <sheetFormatPr defaultRowHeight="11.5" x14ac:dyDescent="0.25"/>
  <cols>
    <col min="1" max="1" width="20.69921875" bestFit="1" customWidth="1"/>
  </cols>
  <sheetData>
    <row r="1" spans="1:3" x14ac:dyDescent="0.25">
      <c r="A1" t="str">
        <f>'KE2 OUTPUT'!E1</f>
        <v>xy=-0.929302810443301</v>
      </c>
      <c r="B1">
        <f>'KE2 OUTPUT'!F1</f>
        <v>0.19301197465254624</v>
      </c>
      <c r="C1">
        <f>'KE2 OUTPUT'!G1</f>
        <v>0</v>
      </c>
    </row>
    <row r="2" spans="1:3" x14ac:dyDescent="0.25">
      <c r="A2" t="str">
        <f>'KE2 OUTPUT'!E2</f>
        <v>xy=-0.923202395028398</v>
      </c>
      <c r="B2">
        <f>'KE2 OUTPUT'!F2</f>
        <v>0.11826048682945592</v>
      </c>
      <c r="C2">
        <f>'KE2 OUTPUT'!G2</f>
        <v>0</v>
      </c>
    </row>
    <row r="3" spans="1:3" x14ac:dyDescent="0.25">
      <c r="A3" t="str">
        <f>'KE2 OUTPUT'!E3</f>
        <v>xy=-1.18333757265275</v>
      </c>
      <c r="B3">
        <f>'KE2 OUTPUT'!F3</f>
        <v>9.7031041185594774E-2</v>
      </c>
      <c r="C3">
        <f>'KE2 OUTPUT'!G3</f>
        <v>0</v>
      </c>
    </row>
    <row r="4" spans="1:3" x14ac:dyDescent="0.25">
      <c r="A4" t="str">
        <f>'KE2 OUTPUT'!E4</f>
        <v>xy=-1.19570108122696</v>
      </c>
      <c r="B4">
        <f>'KE2 OUTPUT'!F4</f>
        <v>0.24852738984039102</v>
      </c>
      <c r="C4">
        <f>'KE2 OUTPUT'!G4</f>
        <v>0</v>
      </c>
    </row>
    <row r="5" spans="1:3" x14ac:dyDescent="0.25">
      <c r="A5" t="str">
        <f>'KE2 OUTPUT'!E5</f>
        <v>xy=-1.47477330243316</v>
      </c>
      <c r="B5">
        <f>'KE2 OUTPUT'!F5</f>
        <v>0.2257525056247546</v>
      </c>
      <c r="C5">
        <f>'KE2 OUTPUT'!G5</f>
        <v>0</v>
      </c>
    </row>
    <row r="6" spans="1:3" x14ac:dyDescent="0.25">
      <c r="A6" t="str">
        <f>'KE2 OUTPUT'!E6</f>
        <v>xy=-1.71970960075832</v>
      </c>
      <c r="B6">
        <f>'KE2 OUTPUT'!F6</f>
        <v>0.39940506035047213</v>
      </c>
      <c r="C6">
        <f>'KE2 OUTPUT'!G6</f>
        <v>0</v>
      </c>
    </row>
    <row r="7" spans="1:3" x14ac:dyDescent="0.25">
      <c r="A7" t="str">
        <f>'KE2 OUTPUT'!E7</f>
        <v>xy=-1.78274722671231</v>
      </c>
      <c r="B7">
        <f>'KE2 OUTPUT'!F7</f>
        <v>1.1718371011890722</v>
      </c>
      <c r="C7">
        <f>'KE2 OUTPUT'!G7</f>
        <v>0</v>
      </c>
    </row>
    <row r="8" spans="1:3" x14ac:dyDescent="0.25">
      <c r="A8" t="str">
        <f>'KE2 OUTPUT'!E8</f>
        <v>xy=-1.81763125436309</v>
      </c>
      <c r="B8">
        <f>'KE2 OUTPUT'!F8</f>
        <v>1.1689902406621173</v>
      </c>
      <c r="C8">
        <f>'KE2 OUTPUT'!G8</f>
        <v>0</v>
      </c>
    </row>
    <row r="9" spans="1:3" x14ac:dyDescent="0.25">
      <c r="A9" t="str">
        <f>'KE2 OUTPUT'!E9</f>
        <v>xy=-2.0177248799719</v>
      </c>
      <c r="B9">
        <f>'KE2 OUTPUT'!F9</f>
        <v>3.6208390412594795</v>
      </c>
      <c r="C9">
        <f>'KE2 OUTPUT'!G9</f>
        <v>0</v>
      </c>
    </row>
    <row r="10" spans="1:3" x14ac:dyDescent="0.25">
      <c r="A10" t="str">
        <f>'KE2 OUTPUT'!E10</f>
        <v>xy=-1.81083341251831</v>
      </c>
      <c r="B10">
        <f>'KE2 OUTPUT'!F10</f>
        <v>3.9748403416736187</v>
      </c>
      <c r="C10">
        <f>'KE2 OUTPUT'!G10</f>
        <v>0</v>
      </c>
    </row>
    <row r="11" spans="1:3" x14ac:dyDescent="0.25">
      <c r="A11" t="str">
        <f>'KE2 OUTPUT'!E11</f>
        <v>xy=-1.63653242937399</v>
      </c>
      <c r="B11">
        <f>'KE2 OUTPUT'!F11</f>
        <v>4.1134771595645541</v>
      </c>
      <c r="C11">
        <f>'KE2 OUTPUT'!G11</f>
        <v>0</v>
      </c>
    </row>
    <row r="12" spans="1:3" x14ac:dyDescent="0.25">
      <c r="A12" t="str">
        <f>'KE2 OUTPUT'!E12</f>
        <v>xy=-1.3447438763899</v>
      </c>
      <c r="B12">
        <f>'KE2 OUTPUT'!F12</f>
        <v>4.2877884912313382</v>
      </c>
      <c r="C12">
        <f>'KE2 OUTPUT'!G12</f>
        <v>0</v>
      </c>
    </row>
    <row r="13" spans="1:3" x14ac:dyDescent="0.25">
      <c r="A13" t="str">
        <f>'KE2 OUTPUT'!E13</f>
        <v>xy=-1.04726160235189</v>
      </c>
      <c r="B13">
        <f>'KE2 OUTPUT'!F13</f>
        <v>4.3923317675965725</v>
      </c>
      <c r="C13">
        <f>'KE2 OUTPUT'!G13</f>
        <v>0</v>
      </c>
    </row>
    <row r="14" spans="1:3" x14ac:dyDescent="0.25">
      <c r="A14" t="str">
        <f>'KE2 OUTPUT'!E14</f>
        <v>xy=-0.593769242891811</v>
      </c>
      <c r="B14">
        <f>'KE2 OUTPUT'!F14</f>
        <v>4.4293409544469835</v>
      </c>
      <c r="C14">
        <f>'KE2 OUTPUT'!G14</f>
        <v>0</v>
      </c>
    </row>
    <row r="15" spans="1:3" x14ac:dyDescent="0.25">
      <c r="A15" t="str">
        <f>'KE2 OUTPUT'!E15</f>
        <v>xy=0.246531939133482</v>
      </c>
      <c r="B15">
        <f>'KE2 OUTPUT'!F15</f>
        <v>4.4513438538037926</v>
      </c>
      <c r="C15">
        <f>'KE2 OUTPUT'!G15</f>
        <v>0</v>
      </c>
    </row>
    <row r="16" spans="1:3" x14ac:dyDescent="0.25">
      <c r="A16" t="str">
        <f>'KE2 OUTPUT'!E16</f>
        <v>xy=0.246531939133482</v>
      </c>
      <c r="B16">
        <f>'KE2 OUTPUT'!F16</f>
        <v>4.4513438538037926</v>
      </c>
      <c r="C16">
        <f>'KE2 OUTPUT'!G16</f>
        <v>0</v>
      </c>
    </row>
    <row r="17" spans="1:3" x14ac:dyDescent="0.25">
      <c r="A17" t="str">
        <f>'KE2 OUTPUT'!E17</f>
        <v>xy=0.701531302016185</v>
      </c>
      <c r="B17">
        <f>'KE2 OUTPUT'!F17</f>
        <v>4.4505824233511948</v>
      </c>
      <c r="C17">
        <f>'KE2 OUTPUT'!G17</f>
        <v>0</v>
      </c>
    </row>
    <row r="18" spans="1:3" x14ac:dyDescent="0.25">
      <c r="A18" t="str">
        <f>'KE2 OUTPUT'!E18</f>
        <v>xy=1.00639699705578</v>
      </c>
      <c r="B18">
        <f>'KE2 OUTPUT'!F18</f>
        <v>4.3700721259475497</v>
      </c>
      <c r="C18">
        <f>'KE2 OUTPUT'!G18</f>
        <v>0</v>
      </c>
    </row>
    <row r="19" spans="1:3" x14ac:dyDescent="0.25">
      <c r="A19" t="str">
        <f>'KE2 OUTPUT'!E19</f>
        <v>xy=1.31114554894883</v>
      </c>
      <c r="B19">
        <f>'KE2 OUTPUT'!F19</f>
        <v>4.2195619265619495</v>
      </c>
      <c r="C19">
        <f>'KE2 OUTPUT'!G19</f>
        <v>0</v>
      </c>
    </row>
    <row r="20" spans="1:3" x14ac:dyDescent="0.25">
      <c r="A20" t="str">
        <f>'KE2 OUTPUT'!E20</f>
        <v>xy=1.49593777918438</v>
      </c>
      <c r="B20">
        <f>'KE2 OUTPUT'!F20</f>
        <v>4.0952525075923116</v>
      </c>
      <c r="C20">
        <f>'KE2 OUTPUT'!G20</f>
        <v>0</v>
      </c>
    </row>
    <row r="21" spans="1:3" x14ac:dyDescent="0.25">
      <c r="A21" t="str">
        <f>'KE2 OUTPUT'!E21</f>
        <v>xy=1.73037516302034</v>
      </c>
      <c r="B21">
        <f>'KE2 OUTPUT'!F21</f>
        <v>3.7588597118012155</v>
      </c>
      <c r="C21">
        <f>'KE2 OUTPUT'!G21</f>
        <v>0</v>
      </c>
    </row>
    <row r="22" spans="1:3" x14ac:dyDescent="0.25">
      <c r="A22" t="str">
        <f>'KE2 OUTPUT'!E22</f>
        <v>xy=1.72625841815575</v>
      </c>
      <c r="B22">
        <f>'KE2 OUTPUT'!F22</f>
        <v>1.2988631564353914</v>
      </c>
      <c r="C22">
        <f>'KE2 OUTPUT'!G22</f>
        <v>0</v>
      </c>
    </row>
    <row r="23" spans="1:3" x14ac:dyDescent="0.25">
      <c r="A23" t="str">
        <f>'KE2 OUTPUT'!E23</f>
        <v>xy=1.69125846716477</v>
      </c>
      <c r="B23">
        <f>'KE2 OUTPUT'!F23</f>
        <v>1.2989217280086682</v>
      </c>
      <c r="C23">
        <f>'KE2 OUTPUT'!G23</f>
        <v>0</v>
      </c>
    </row>
    <row r="24" spans="1:3" x14ac:dyDescent="0.25">
      <c r="A24" t="str">
        <f>'KE2 OUTPUT'!E24</f>
        <v>xy=1.68996152518507</v>
      </c>
      <c r="B24">
        <f>'KE2 OUTPUT'!F24</f>
        <v>0.52392281320845935</v>
      </c>
      <c r="C24">
        <f>'KE2 OUTPUT'!G24</f>
        <v>0</v>
      </c>
    </row>
    <row r="25" spans="1:3" x14ac:dyDescent="0.25">
      <c r="A25" t="str">
        <f>'KE2 OUTPUT'!E25</f>
        <v>xy=1.45963886685458</v>
      </c>
      <c r="B25">
        <f>'KE2 OUTPUT'!F25</f>
        <v>0.33130798236831793</v>
      </c>
      <c r="C25">
        <f>'KE2 OUTPUT'!G25</f>
        <v>0</v>
      </c>
    </row>
    <row r="26" spans="1:3" x14ac:dyDescent="0.25">
      <c r="A26" t="str">
        <f>'KE2 OUTPUT'!E26</f>
        <v>xy=1.17963925892677</v>
      </c>
      <c r="B26">
        <f>'KE2 OUTPUT'!F26</f>
        <v>0.33177655495453173</v>
      </c>
      <c r="C26">
        <f>'KE2 OUTPUT'!G26</f>
        <v>0</v>
      </c>
    </row>
    <row r="27" spans="1:3" x14ac:dyDescent="0.25">
      <c r="A27" t="str">
        <f>'KE2 OUTPUT'!E27</f>
        <v>xy=1.17938489095139</v>
      </c>
      <c r="B27">
        <f>'KE2 OUTPUT'!F27</f>
        <v>0.17977676779371665</v>
      </c>
      <c r="C27">
        <f>'KE2 OUTPUT'!G27</f>
        <v>0</v>
      </c>
    </row>
    <row r="28" spans="1:3" x14ac:dyDescent="0.25">
      <c r="A28" t="str">
        <f>'KE2 OUTPUT'!E28</f>
        <v>xy=0.918385256418678</v>
      </c>
      <c r="B28">
        <f>'KE2 OUTPUT'!F28</f>
        <v>0.18021354438300888</v>
      </c>
      <c r="C28">
        <f>'KE2 OUTPUT'!G28</f>
        <v>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"/>
  <sheetViews>
    <sheetView workbookViewId="0">
      <selection activeCell="E33" sqref="E33"/>
    </sheetView>
  </sheetViews>
  <sheetFormatPr defaultRowHeight="11.5" x14ac:dyDescent="0.25"/>
  <cols>
    <col min="1" max="1" width="8.3984375" customWidth="1"/>
    <col min="5" max="5" width="20.69921875" bestFit="1" customWidth="1"/>
  </cols>
  <sheetData>
    <row r="1" spans="1:7" x14ac:dyDescent="0.25">
      <c r="A1" t="s">
        <v>86</v>
      </c>
      <c r="B1" s="100">
        <f>Calculations!D94/1000</f>
        <v>-0.92523586683336556</v>
      </c>
      <c r="C1" s="100">
        <f>Calculations!E94/1000</f>
        <v>0.14317764943715269</v>
      </c>
      <c r="D1">
        <v>0</v>
      </c>
      <c r="E1" s="15" t="str">
        <f>CONCATENATE(A1,B1)</f>
        <v>xy=-0.925235866833366</v>
      </c>
      <c r="F1" s="100">
        <f>C1</f>
        <v>0.14317764943715269</v>
      </c>
      <c r="G1">
        <f>D1</f>
        <v>0</v>
      </c>
    </row>
    <row r="2" spans="1:7" x14ac:dyDescent="0.25">
      <c r="A2" t="s">
        <v>86</v>
      </c>
      <c r="B2" s="100">
        <f>Calculations!D95/1000</f>
        <v>-0.91913545141846298</v>
      </c>
      <c r="C2" s="100">
        <f>Calculations!E95/1000</f>
        <v>6.8426161614062384E-2</v>
      </c>
      <c r="D2">
        <v>0</v>
      </c>
      <c r="E2" s="15" t="str">
        <f t="shared" ref="E2:E28" si="0">CONCATENATE(A2,B2)</f>
        <v>xy=-0.919135451418463</v>
      </c>
      <c r="F2" s="100">
        <f t="shared" ref="F2:F28" si="1">C2</f>
        <v>6.8426161614062384E-2</v>
      </c>
      <c r="G2">
        <f t="shared" ref="G2:G28" si="2">D2</f>
        <v>0</v>
      </c>
    </row>
    <row r="3" spans="1:7" x14ac:dyDescent="0.25">
      <c r="A3" t="s">
        <v>86</v>
      </c>
      <c r="B3" s="100">
        <f>Calculations!D96/1000</f>
        <v>-1.1792706290428172</v>
      </c>
      <c r="C3" s="100">
        <f>Calculations!E96/1000</f>
        <v>4.7196715970201239E-2</v>
      </c>
      <c r="D3">
        <v>0</v>
      </c>
      <c r="E3" s="15" t="str">
        <f t="shared" si="0"/>
        <v>xy=-1.17927062904282</v>
      </c>
      <c r="F3" s="100">
        <f t="shared" si="1"/>
        <v>4.7196715970201239E-2</v>
      </c>
      <c r="G3">
        <f t="shared" si="2"/>
        <v>0</v>
      </c>
    </row>
    <row r="4" spans="1:7" x14ac:dyDescent="0.25">
      <c r="A4" t="s">
        <v>86</v>
      </c>
      <c r="B4" s="100">
        <f>Calculations!D97/1000</f>
        <v>-1.1916341376170201</v>
      </c>
      <c r="C4" s="100">
        <f>Calculations!E97/1000</f>
        <v>0.19869306462499747</v>
      </c>
      <c r="D4">
        <v>0</v>
      </c>
      <c r="E4" s="15" t="str">
        <f t="shared" si="0"/>
        <v>xy=-1.19163413761702</v>
      </c>
      <c r="F4" s="100">
        <f t="shared" si="1"/>
        <v>0.19869306462499747</v>
      </c>
      <c r="G4">
        <f t="shared" si="2"/>
        <v>0</v>
      </c>
    </row>
    <row r="5" spans="1:7" x14ac:dyDescent="0.25">
      <c r="A5" t="s">
        <v>86</v>
      </c>
      <c r="B5" s="100">
        <f>Calculations!D98/1000</f>
        <v>-1.4707063588232239</v>
      </c>
      <c r="C5" s="100">
        <f>Calculations!E98/1000</f>
        <v>0.17591818040936108</v>
      </c>
      <c r="D5">
        <v>0</v>
      </c>
      <c r="E5" s="15" t="str">
        <f t="shared" si="0"/>
        <v>xy=-1.47070635882322</v>
      </c>
      <c r="F5" s="100">
        <f t="shared" si="1"/>
        <v>0.17591818040936108</v>
      </c>
      <c r="G5">
        <f t="shared" si="2"/>
        <v>0</v>
      </c>
    </row>
    <row r="6" spans="1:7" x14ac:dyDescent="0.25">
      <c r="A6" t="s">
        <v>86</v>
      </c>
      <c r="B6" s="100">
        <f>Calculations!D99/1000</f>
        <v>-1.7156426571483836</v>
      </c>
      <c r="C6" s="100">
        <f>Calculations!E99/1000</f>
        <v>0.34957073513507858</v>
      </c>
      <c r="D6">
        <v>0</v>
      </c>
      <c r="E6" s="15" t="str">
        <f t="shared" si="0"/>
        <v>xy=-1.71564265714838</v>
      </c>
      <c r="F6" s="100">
        <f t="shared" si="1"/>
        <v>0.34957073513507858</v>
      </c>
      <c r="G6">
        <f t="shared" si="2"/>
        <v>0</v>
      </c>
    </row>
    <row r="7" spans="1:7" x14ac:dyDescent="0.25">
      <c r="A7" t="s">
        <v>86</v>
      </c>
      <c r="B7" s="100">
        <f>Calculations!D100/1000</f>
        <v>-1.7786802831023778</v>
      </c>
      <c r="C7" s="100">
        <f>Calculations!E100/1000</f>
        <v>1.1220027759736786</v>
      </c>
      <c r="D7">
        <v>0</v>
      </c>
      <c r="E7" s="15" t="str">
        <f t="shared" si="0"/>
        <v>xy=-1.77868028310238</v>
      </c>
      <c r="F7" s="100">
        <f t="shared" si="1"/>
        <v>1.1220027759736786</v>
      </c>
      <c r="G7">
        <f t="shared" si="2"/>
        <v>0</v>
      </c>
    </row>
    <row r="8" spans="1:7" x14ac:dyDescent="0.25">
      <c r="A8" t="s">
        <v>86</v>
      </c>
      <c r="B8" s="100">
        <f>Calculations!D101/1000</f>
        <v>-1.8135643107531534</v>
      </c>
      <c r="C8" s="100">
        <f>Calculations!E101/1000</f>
        <v>1.1191559154467237</v>
      </c>
      <c r="D8">
        <v>0</v>
      </c>
      <c r="E8" s="15" t="str">
        <f t="shared" si="0"/>
        <v>xy=-1.81356431075315</v>
      </c>
      <c r="F8" s="100">
        <f t="shared" si="1"/>
        <v>1.1191559154467237</v>
      </c>
      <c r="G8">
        <f t="shared" si="2"/>
        <v>0</v>
      </c>
    </row>
    <row r="9" spans="1:7" x14ac:dyDescent="0.25">
      <c r="A9" t="s">
        <v>86</v>
      </c>
      <c r="B9" s="100">
        <f>Calculations!D102/1000</f>
        <v>-2.0136579363619607</v>
      </c>
      <c r="C9" s="100">
        <f>Calculations!E102/1000</f>
        <v>3.5710047160440856</v>
      </c>
      <c r="D9">
        <v>0</v>
      </c>
      <c r="E9" s="15" t="str">
        <f t="shared" si="0"/>
        <v>xy=-2.01365793636196</v>
      </c>
      <c r="F9" s="100">
        <f t="shared" si="1"/>
        <v>3.5710047160440856</v>
      </c>
      <c r="G9">
        <f t="shared" si="2"/>
        <v>0</v>
      </c>
    </row>
    <row r="10" spans="1:7" x14ac:dyDescent="0.25">
      <c r="A10" t="s">
        <v>86</v>
      </c>
      <c r="B10" s="100">
        <f>Calculations!D103/1000</f>
        <v>-1.8067664689083744</v>
      </c>
      <c r="C10" s="100">
        <f>Calculations!E103/1000</f>
        <v>3.9250060164582252</v>
      </c>
      <c r="D10">
        <v>0</v>
      </c>
      <c r="E10" s="15" t="str">
        <f t="shared" si="0"/>
        <v>xy=-1.80676646890837</v>
      </c>
      <c r="F10" s="100">
        <f t="shared" si="1"/>
        <v>3.9250060164582252</v>
      </c>
      <c r="G10">
        <f t="shared" si="2"/>
        <v>0</v>
      </c>
    </row>
    <row r="11" spans="1:7" x14ac:dyDescent="0.25">
      <c r="A11" t="s">
        <v>86</v>
      </c>
      <c r="B11" s="100">
        <f>Calculations!D104/1000</f>
        <v>-1.632465485764057</v>
      </c>
      <c r="C11" s="100">
        <f>Calculations!E104/1000</f>
        <v>4.0636428343491611</v>
      </c>
      <c r="D11">
        <v>0</v>
      </c>
      <c r="E11" s="15" t="str">
        <f t="shared" si="0"/>
        <v>xy=-1.63246548576406</v>
      </c>
      <c r="F11" s="100">
        <f t="shared" si="1"/>
        <v>4.0636428343491611</v>
      </c>
      <c r="G11">
        <f t="shared" si="2"/>
        <v>0</v>
      </c>
    </row>
    <row r="12" spans="1:7" x14ac:dyDescent="0.25">
      <c r="A12" t="s">
        <v>86</v>
      </c>
      <c r="B12" s="100">
        <f>Calculations!D105/1000</f>
        <v>-1.3406769327799624</v>
      </c>
      <c r="C12" s="100">
        <f>Calculations!E105/1000</f>
        <v>4.2379541660159452</v>
      </c>
      <c r="D12">
        <v>0</v>
      </c>
      <c r="E12" s="15" t="str">
        <f t="shared" si="0"/>
        <v>xy=-1.34067693277996</v>
      </c>
      <c r="F12" s="100">
        <f t="shared" si="1"/>
        <v>4.2379541660159452</v>
      </c>
      <c r="G12">
        <f t="shared" si="2"/>
        <v>0</v>
      </c>
    </row>
    <row r="13" spans="1:7" x14ac:dyDescent="0.25">
      <c r="A13" t="s">
        <v>86</v>
      </c>
      <c r="B13" s="100">
        <f>Calculations!D106/1000</f>
        <v>-1.0431946587419574</v>
      </c>
      <c r="C13" s="100">
        <f>Calculations!E106/1000</f>
        <v>4.3424974423811795</v>
      </c>
      <c r="D13">
        <v>0</v>
      </c>
      <c r="E13" s="15" t="str">
        <f t="shared" si="0"/>
        <v>xy=-1.04319465874196</v>
      </c>
      <c r="F13" s="100">
        <f t="shared" si="1"/>
        <v>4.3424974423811795</v>
      </c>
      <c r="G13">
        <f t="shared" si="2"/>
        <v>0</v>
      </c>
    </row>
    <row r="14" spans="1:7" x14ac:dyDescent="0.25">
      <c r="A14" t="s">
        <v>86</v>
      </c>
      <c r="B14" s="100">
        <f>Calculations!D107/1000</f>
        <v>-0.58970229928187634</v>
      </c>
      <c r="C14" s="100">
        <f>Calculations!E107/1000</f>
        <v>4.3795066292315896</v>
      </c>
      <c r="D14">
        <v>0</v>
      </c>
      <c r="E14" s="15" t="str">
        <f t="shared" si="0"/>
        <v>xy=-0.589702299281876</v>
      </c>
      <c r="F14" s="100">
        <f t="shared" si="1"/>
        <v>4.3795066292315896</v>
      </c>
      <c r="G14">
        <f t="shared" si="2"/>
        <v>0</v>
      </c>
    </row>
    <row r="15" spans="1:7" x14ac:dyDescent="0.25">
      <c r="A15" t="s">
        <v>86</v>
      </c>
      <c r="B15" s="100">
        <f>Calculations!D108/1000</f>
        <v>0.24644826545737233</v>
      </c>
      <c r="C15" s="100">
        <f>Calculations!E108/1000</f>
        <v>4.4013439238166816</v>
      </c>
      <c r="D15">
        <v>0</v>
      </c>
      <c r="E15" s="15" t="str">
        <f t="shared" si="0"/>
        <v>xy=0.246448265457372</v>
      </c>
      <c r="F15" s="100">
        <f t="shared" si="1"/>
        <v>4.4013439238166816</v>
      </c>
      <c r="G15">
        <f t="shared" si="2"/>
        <v>0</v>
      </c>
    </row>
    <row r="16" spans="1:7" x14ac:dyDescent="0.25">
      <c r="A16" t="s">
        <v>86</v>
      </c>
      <c r="B16" s="100">
        <f>Calculations!D109/1000</f>
        <v>0.24644826545737233</v>
      </c>
      <c r="C16" s="100">
        <f>Calculations!E109/1000</f>
        <v>4.4013439238166816</v>
      </c>
      <c r="D16">
        <v>0</v>
      </c>
      <c r="E16" s="15" t="str">
        <f t="shared" si="0"/>
        <v>xy=0.246448265457372</v>
      </c>
      <c r="F16" s="100">
        <f t="shared" si="1"/>
        <v>4.4013439238166816</v>
      </c>
      <c r="G16">
        <f t="shared" si="2"/>
        <v>0</v>
      </c>
    </row>
    <row r="17" spans="1:7" x14ac:dyDescent="0.25">
      <c r="A17" t="s">
        <v>86</v>
      </c>
      <c r="B17" s="100">
        <f>Calculations!D110/1000</f>
        <v>0.70144762834007568</v>
      </c>
      <c r="C17" s="100">
        <f>Calculations!E110/1000</f>
        <v>4.4005824933640847</v>
      </c>
      <c r="D17">
        <v>0</v>
      </c>
      <c r="E17" s="15" t="str">
        <f t="shared" si="0"/>
        <v>xy=0.701447628340076</v>
      </c>
      <c r="F17" s="100">
        <f t="shared" si="1"/>
        <v>4.4005824933640847</v>
      </c>
      <c r="G17">
        <f t="shared" si="2"/>
        <v>0</v>
      </c>
    </row>
    <row r="18" spans="1:7" x14ac:dyDescent="0.25">
      <c r="A18" t="s">
        <v>86</v>
      </c>
      <c r="B18" s="100">
        <f>Calculations!D111/1000</f>
        <v>1.0063133233796728</v>
      </c>
      <c r="C18" s="100">
        <f>Calculations!E111/1000</f>
        <v>4.3200721959604387</v>
      </c>
      <c r="D18">
        <v>0</v>
      </c>
      <c r="E18" s="15" t="str">
        <f t="shared" si="0"/>
        <v>xy=1.00631332337967</v>
      </c>
      <c r="F18" s="100">
        <f t="shared" si="1"/>
        <v>4.3200721959604387</v>
      </c>
      <c r="G18">
        <f t="shared" si="2"/>
        <v>0</v>
      </c>
    </row>
    <row r="19" spans="1:7" x14ac:dyDescent="0.25">
      <c r="A19" t="s">
        <v>86</v>
      </c>
      <c r="B19" s="100">
        <f>Calculations!D112/1000</f>
        <v>1.3110618752727163</v>
      </c>
      <c r="C19" s="100">
        <f>Calculations!E112/1000</f>
        <v>4.1695619965748394</v>
      </c>
      <c r="D19">
        <v>0</v>
      </c>
      <c r="E19" s="15" t="str">
        <f t="shared" si="0"/>
        <v>xy=1.31106187527272</v>
      </c>
      <c r="F19" s="100">
        <f t="shared" si="1"/>
        <v>4.1695619965748394</v>
      </c>
      <c r="G19">
        <f t="shared" si="2"/>
        <v>0</v>
      </c>
    </row>
    <row r="20" spans="1:7" x14ac:dyDescent="0.25">
      <c r="A20" t="s">
        <v>86</v>
      </c>
      <c r="B20" s="100">
        <f>Calculations!D113/1000</f>
        <v>1.4958541055082726</v>
      </c>
      <c r="C20" s="100">
        <f>Calculations!E113/1000</f>
        <v>4.0452525776052015</v>
      </c>
      <c r="D20">
        <v>0</v>
      </c>
      <c r="E20" s="15" t="str">
        <f t="shared" si="0"/>
        <v>xy=1.49585410550827</v>
      </c>
      <c r="F20" s="100">
        <f t="shared" si="1"/>
        <v>4.0452525776052015</v>
      </c>
      <c r="G20">
        <f t="shared" si="2"/>
        <v>0</v>
      </c>
    </row>
    <row r="21" spans="1:7" x14ac:dyDescent="0.25">
      <c r="A21" t="s">
        <v>86</v>
      </c>
      <c r="B21" s="100">
        <f>Calculations!D114/1000</f>
        <v>1.7302914893442338</v>
      </c>
      <c r="C21" s="100">
        <f>Calculations!E114/1000</f>
        <v>3.7088597818141054</v>
      </c>
      <c r="D21">
        <v>0</v>
      </c>
      <c r="E21" s="15" t="str">
        <f t="shared" si="0"/>
        <v>xy=1.73029148934423</v>
      </c>
      <c r="F21" s="100">
        <f t="shared" si="1"/>
        <v>3.7088597818141054</v>
      </c>
      <c r="G21">
        <f t="shared" si="2"/>
        <v>0</v>
      </c>
    </row>
    <row r="22" spans="1:7" x14ac:dyDescent="0.25">
      <c r="A22" t="s">
        <v>86</v>
      </c>
      <c r="B22" s="100">
        <f>Calculations!D115/1000</f>
        <v>1.7261747444796416</v>
      </c>
      <c r="C22" s="100">
        <f>Calculations!E115/1000</f>
        <v>1.2488632264482813</v>
      </c>
      <c r="D22">
        <v>0</v>
      </c>
      <c r="E22" s="15" t="str">
        <f t="shared" si="0"/>
        <v>xy=1.72617474447964</v>
      </c>
      <c r="F22" s="100">
        <f t="shared" si="1"/>
        <v>1.2488632264482813</v>
      </c>
      <c r="G22">
        <f t="shared" si="2"/>
        <v>0</v>
      </c>
    </row>
    <row r="23" spans="1:7" x14ac:dyDescent="0.25">
      <c r="A23" t="s">
        <v>86</v>
      </c>
      <c r="B23" s="100">
        <f>Calculations!D116/1000</f>
        <v>1.6911747934886638</v>
      </c>
      <c r="C23" s="100">
        <f>Calculations!E116/1000</f>
        <v>1.2489217980215579</v>
      </c>
      <c r="D23">
        <v>0</v>
      </c>
      <c r="E23" s="15" t="str">
        <f t="shared" si="0"/>
        <v>xy=1.69117479348866</v>
      </c>
      <c r="F23" s="100">
        <f t="shared" si="1"/>
        <v>1.2489217980215579</v>
      </c>
      <c r="G23">
        <f t="shared" si="2"/>
        <v>0</v>
      </c>
    </row>
    <row r="24" spans="1:7" x14ac:dyDescent="0.25">
      <c r="A24" t="s">
        <v>86</v>
      </c>
      <c r="B24" s="100">
        <f>Calculations!D117/1000</f>
        <v>1.6898778515089647</v>
      </c>
      <c r="C24" s="100">
        <f>Calculations!E117/1000</f>
        <v>0.47392288322134912</v>
      </c>
      <c r="D24">
        <v>0</v>
      </c>
      <c r="E24" s="15" t="str">
        <f t="shared" si="0"/>
        <v>xy=1.68987785150896</v>
      </c>
      <c r="F24" s="100">
        <f t="shared" si="1"/>
        <v>0.47392288322134912</v>
      </c>
      <c r="G24">
        <f t="shared" si="2"/>
        <v>0</v>
      </c>
    </row>
    <row r="25" spans="1:7" x14ac:dyDescent="0.25">
      <c r="A25" t="s">
        <v>86</v>
      </c>
      <c r="B25" s="100">
        <f>Calculations!D118/1000</f>
        <v>1.4595551931784752</v>
      </c>
      <c r="C25" s="100">
        <f>Calculations!E118/1000</f>
        <v>0.28130805238120771</v>
      </c>
      <c r="D25">
        <v>0</v>
      </c>
      <c r="E25" s="15" t="str">
        <f t="shared" si="0"/>
        <v>xy=1.45955519317848</v>
      </c>
      <c r="F25" s="100">
        <f t="shared" si="1"/>
        <v>0.28130805238120771</v>
      </c>
      <c r="G25">
        <f t="shared" si="2"/>
        <v>0</v>
      </c>
    </row>
    <row r="26" spans="1:7" x14ac:dyDescent="0.25">
      <c r="A26" t="s">
        <v>86</v>
      </c>
      <c r="B26" s="100">
        <f>Calculations!D119/1000</f>
        <v>1.1795555852506574</v>
      </c>
      <c r="C26" s="100">
        <f>Calculations!E119/1000</f>
        <v>0.28177662496742145</v>
      </c>
      <c r="D26">
        <v>0</v>
      </c>
      <c r="E26" s="15" t="str">
        <f t="shared" si="0"/>
        <v>xy=1.17955558525066</v>
      </c>
      <c r="F26" s="100">
        <f t="shared" si="1"/>
        <v>0.28177662496742145</v>
      </c>
      <c r="G26">
        <f t="shared" si="2"/>
        <v>0</v>
      </c>
    </row>
    <row r="27" spans="1:7" x14ac:dyDescent="0.25">
      <c r="A27" t="s">
        <v>86</v>
      </c>
      <c r="B27" s="100">
        <f>Calculations!D120/1000</f>
        <v>1.1793012172752841</v>
      </c>
      <c r="C27" s="100">
        <f>Calculations!E120/1000</f>
        <v>0.1297768378066064</v>
      </c>
      <c r="D27">
        <v>0</v>
      </c>
      <c r="E27" s="15" t="str">
        <f t="shared" si="0"/>
        <v>xy=1.17930121727528</v>
      </c>
      <c r="F27" s="100">
        <f t="shared" si="1"/>
        <v>0.1297768378066064</v>
      </c>
      <c r="G27">
        <f t="shared" si="2"/>
        <v>0</v>
      </c>
    </row>
    <row r="28" spans="1:7" x14ac:dyDescent="0.25">
      <c r="A28" t="s">
        <v>86</v>
      </c>
      <c r="B28" s="100">
        <f>Calculations!D121/1000</f>
        <v>0.91830158274256879</v>
      </c>
      <c r="C28" s="100">
        <f>Calculations!E121/1000</f>
        <v>0.13021361439589862</v>
      </c>
      <c r="D28">
        <v>0</v>
      </c>
      <c r="E28" s="15" t="str">
        <f t="shared" si="0"/>
        <v>xy=0.918301582742569</v>
      </c>
      <c r="F28" s="100">
        <f t="shared" si="1"/>
        <v>0.13021361439589862</v>
      </c>
      <c r="G28">
        <f t="shared" si="2"/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28"/>
  <sheetViews>
    <sheetView workbookViewId="0"/>
  </sheetViews>
  <sheetFormatPr defaultRowHeight="11.5" x14ac:dyDescent="0.25"/>
  <cols>
    <col min="1" max="1" width="20.69921875" bestFit="1" customWidth="1"/>
  </cols>
  <sheetData>
    <row r="1" spans="1:3" x14ac:dyDescent="0.25">
      <c r="A1" s="15" t="str">
        <f>'KE1 OUTPUT'!E1</f>
        <v>xy=-0.925235866833366</v>
      </c>
      <c r="B1" s="112">
        <f>'KE1 OUTPUT'!F1</f>
        <v>0.14317764943715269</v>
      </c>
      <c r="C1" s="15">
        <f>'KE1 OUTPUT'!G1</f>
        <v>0</v>
      </c>
    </row>
    <row r="2" spans="1:3" x14ac:dyDescent="0.25">
      <c r="A2" s="15" t="str">
        <f>'KE1 OUTPUT'!E2</f>
        <v>xy=-0.919135451418463</v>
      </c>
      <c r="B2" s="112">
        <f>'KE1 OUTPUT'!F2</f>
        <v>6.8426161614062384E-2</v>
      </c>
      <c r="C2" s="15">
        <f>'KE1 OUTPUT'!G2</f>
        <v>0</v>
      </c>
    </row>
    <row r="3" spans="1:3" x14ac:dyDescent="0.25">
      <c r="A3" s="15" t="str">
        <f>'KE1 OUTPUT'!E3</f>
        <v>xy=-1.17927062904282</v>
      </c>
      <c r="B3" s="112">
        <f>'KE1 OUTPUT'!F3</f>
        <v>4.7196715970201239E-2</v>
      </c>
      <c r="C3" s="15">
        <f>'KE1 OUTPUT'!G3</f>
        <v>0</v>
      </c>
    </row>
    <row r="4" spans="1:3" x14ac:dyDescent="0.25">
      <c r="A4" s="15" t="str">
        <f>'KE1 OUTPUT'!E4</f>
        <v>xy=-1.19163413761702</v>
      </c>
      <c r="B4" s="112">
        <f>'KE1 OUTPUT'!F4</f>
        <v>0.19869306462499747</v>
      </c>
      <c r="C4" s="15">
        <f>'KE1 OUTPUT'!G4</f>
        <v>0</v>
      </c>
    </row>
    <row r="5" spans="1:3" x14ac:dyDescent="0.25">
      <c r="A5" s="15" t="str">
        <f>'KE1 OUTPUT'!E5</f>
        <v>xy=-1.47070635882322</v>
      </c>
      <c r="B5" s="112">
        <f>'KE1 OUTPUT'!F5</f>
        <v>0.17591818040936108</v>
      </c>
      <c r="C5" s="15">
        <f>'KE1 OUTPUT'!G5</f>
        <v>0</v>
      </c>
    </row>
    <row r="6" spans="1:3" x14ac:dyDescent="0.25">
      <c r="A6" s="15" t="str">
        <f>'KE1 OUTPUT'!E6</f>
        <v>xy=-1.71564265714838</v>
      </c>
      <c r="B6" s="112">
        <f>'KE1 OUTPUT'!F6</f>
        <v>0.34957073513507858</v>
      </c>
      <c r="C6" s="15">
        <f>'KE1 OUTPUT'!G6</f>
        <v>0</v>
      </c>
    </row>
    <row r="7" spans="1:3" x14ac:dyDescent="0.25">
      <c r="A7" s="15" t="str">
        <f>'KE1 OUTPUT'!E7</f>
        <v>xy=-1.77868028310238</v>
      </c>
      <c r="B7" s="112">
        <f>'KE1 OUTPUT'!F7</f>
        <v>1.1220027759736786</v>
      </c>
      <c r="C7" s="15">
        <f>'KE1 OUTPUT'!G7</f>
        <v>0</v>
      </c>
    </row>
    <row r="8" spans="1:3" x14ac:dyDescent="0.25">
      <c r="A8" s="15" t="str">
        <f>'KE1 OUTPUT'!E8</f>
        <v>xy=-1.81356431075315</v>
      </c>
      <c r="B8" s="112">
        <f>'KE1 OUTPUT'!F8</f>
        <v>1.1191559154467237</v>
      </c>
      <c r="C8" s="15">
        <f>'KE1 OUTPUT'!G8</f>
        <v>0</v>
      </c>
    </row>
    <row r="9" spans="1:3" x14ac:dyDescent="0.25">
      <c r="A9" s="15" t="str">
        <f>'KE1 OUTPUT'!E9</f>
        <v>xy=-2.01365793636196</v>
      </c>
      <c r="B9" s="112">
        <f>'KE1 OUTPUT'!F9</f>
        <v>3.5710047160440856</v>
      </c>
      <c r="C9" s="15">
        <f>'KE1 OUTPUT'!G9</f>
        <v>0</v>
      </c>
    </row>
    <row r="10" spans="1:3" x14ac:dyDescent="0.25">
      <c r="A10" s="15" t="str">
        <f>'KE1 OUTPUT'!E10</f>
        <v>xy=-1.80676646890837</v>
      </c>
      <c r="B10" s="112">
        <f>'KE1 OUTPUT'!F10</f>
        <v>3.9250060164582252</v>
      </c>
      <c r="C10" s="15">
        <f>'KE1 OUTPUT'!G10</f>
        <v>0</v>
      </c>
    </row>
    <row r="11" spans="1:3" x14ac:dyDescent="0.25">
      <c r="A11" s="15" t="str">
        <f>'KE1 OUTPUT'!E11</f>
        <v>xy=-1.63246548576406</v>
      </c>
      <c r="B11" s="112">
        <f>'KE1 OUTPUT'!F11</f>
        <v>4.0636428343491611</v>
      </c>
      <c r="C11" s="15">
        <f>'KE1 OUTPUT'!G11</f>
        <v>0</v>
      </c>
    </row>
    <row r="12" spans="1:3" x14ac:dyDescent="0.25">
      <c r="A12" s="15" t="str">
        <f>'KE1 OUTPUT'!E12</f>
        <v>xy=-1.34067693277996</v>
      </c>
      <c r="B12" s="112">
        <f>'KE1 OUTPUT'!F12</f>
        <v>4.2379541660159452</v>
      </c>
      <c r="C12" s="15">
        <f>'KE1 OUTPUT'!G12</f>
        <v>0</v>
      </c>
    </row>
    <row r="13" spans="1:3" x14ac:dyDescent="0.25">
      <c r="A13" s="15" t="str">
        <f>'KE1 OUTPUT'!E13</f>
        <v>xy=-1.04319465874196</v>
      </c>
      <c r="B13" s="112">
        <f>'KE1 OUTPUT'!F13</f>
        <v>4.3424974423811795</v>
      </c>
      <c r="C13" s="15">
        <f>'KE1 OUTPUT'!G13</f>
        <v>0</v>
      </c>
    </row>
    <row r="14" spans="1:3" x14ac:dyDescent="0.25">
      <c r="A14" s="15" t="str">
        <f>'KE1 OUTPUT'!E14</f>
        <v>xy=-0.589702299281876</v>
      </c>
      <c r="B14" s="112">
        <f>'KE1 OUTPUT'!F14</f>
        <v>4.3795066292315896</v>
      </c>
      <c r="C14" s="15">
        <f>'KE1 OUTPUT'!G14</f>
        <v>0</v>
      </c>
    </row>
    <row r="15" spans="1:3" x14ac:dyDescent="0.25">
      <c r="A15" s="15" t="str">
        <f>'KE1 OUTPUT'!E15</f>
        <v>xy=0.246448265457372</v>
      </c>
      <c r="B15" s="112">
        <f>'KE1 OUTPUT'!F15</f>
        <v>4.4013439238166816</v>
      </c>
      <c r="C15" s="15">
        <f>'KE1 OUTPUT'!G15</f>
        <v>0</v>
      </c>
    </row>
    <row r="16" spans="1:3" x14ac:dyDescent="0.25">
      <c r="A16" s="15" t="str">
        <f>'KE1 OUTPUT'!E16</f>
        <v>xy=0.246448265457372</v>
      </c>
      <c r="B16" s="112">
        <f>'KE1 OUTPUT'!F16</f>
        <v>4.4013439238166816</v>
      </c>
      <c r="C16" s="15">
        <f>'KE1 OUTPUT'!G16</f>
        <v>0</v>
      </c>
    </row>
    <row r="17" spans="1:3" x14ac:dyDescent="0.25">
      <c r="A17" s="15" t="str">
        <f>'KE1 OUTPUT'!E17</f>
        <v>xy=0.701447628340076</v>
      </c>
      <c r="B17" s="112">
        <f>'KE1 OUTPUT'!F17</f>
        <v>4.4005824933640847</v>
      </c>
      <c r="C17" s="15">
        <f>'KE1 OUTPUT'!G17</f>
        <v>0</v>
      </c>
    </row>
    <row r="18" spans="1:3" x14ac:dyDescent="0.25">
      <c r="A18" s="15" t="str">
        <f>'KE1 OUTPUT'!E18</f>
        <v>xy=1.00631332337967</v>
      </c>
      <c r="B18" s="112">
        <f>'KE1 OUTPUT'!F18</f>
        <v>4.3200721959604387</v>
      </c>
      <c r="C18" s="15">
        <f>'KE1 OUTPUT'!G18</f>
        <v>0</v>
      </c>
    </row>
    <row r="19" spans="1:3" x14ac:dyDescent="0.25">
      <c r="A19" s="15" t="str">
        <f>'KE1 OUTPUT'!E19</f>
        <v>xy=1.31106187527272</v>
      </c>
      <c r="B19" s="112">
        <f>'KE1 OUTPUT'!F19</f>
        <v>4.1695619965748394</v>
      </c>
      <c r="C19" s="15">
        <f>'KE1 OUTPUT'!G19</f>
        <v>0</v>
      </c>
    </row>
    <row r="20" spans="1:3" x14ac:dyDescent="0.25">
      <c r="A20" s="15" t="str">
        <f>'KE1 OUTPUT'!E20</f>
        <v>xy=1.49585410550827</v>
      </c>
      <c r="B20" s="112">
        <f>'KE1 OUTPUT'!F20</f>
        <v>4.0452525776052015</v>
      </c>
      <c r="C20" s="15">
        <f>'KE1 OUTPUT'!G20</f>
        <v>0</v>
      </c>
    </row>
    <row r="21" spans="1:3" x14ac:dyDescent="0.25">
      <c r="A21" s="15" t="str">
        <f>'KE1 OUTPUT'!E21</f>
        <v>xy=1.73029148934423</v>
      </c>
      <c r="B21" s="112">
        <f>'KE1 OUTPUT'!F21</f>
        <v>3.7088597818141054</v>
      </c>
      <c r="C21" s="15">
        <f>'KE1 OUTPUT'!G21</f>
        <v>0</v>
      </c>
    </row>
    <row r="22" spans="1:3" x14ac:dyDescent="0.25">
      <c r="A22" s="15" t="str">
        <f>'KE1 OUTPUT'!E22</f>
        <v>xy=1.72617474447964</v>
      </c>
      <c r="B22" s="112">
        <f>'KE1 OUTPUT'!F22</f>
        <v>1.2488632264482813</v>
      </c>
      <c r="C22" s="15">
        <f>'KE1 OUTPUT'!G22</f>
        <v>0</v>
      </c>
    </row>
    <row r="23" spans="1:3" x14ac:dyDescent="0.25">
      <c r="A23" s="15" t="str">
        <f>'KE1 OUTPUT'!E23</f>
        <v>xy=1.69117479348866</v>
      </c>
      <c r="B23" s="112">
        <f>'KE1 OUTPUT'!F23</f>
        <v>1.2489217980215579</v>
      </c>
      <c r="C23" s="15">
        <f>'KE1 OUTPUT'!G23</f>
        <v>0</v>
      </c>
    </row>
    <row r="24" spans="1:3" x14ac:dyDescent="0.25">
      <c r="A24" s="15" t="str">
        <f>'KE1 OUTPUT'!E24</f>
        <v>xy=1.68987785150896</v>
      </c>
      <c r="B24" s="112">
        <f>'KE1 OUTPUT'!F24</f>
        <v>0.47392288322134912</v>
      </c>
      <c r="C24" s="15">
        <f>'KE1 OUTPUT'!G24</f>
        <v>0</v>
      </c>
    </row>
    <row r="25" spans="1:3" x14ac:dyDescent="0.25">
      <c r="A25" s="15" t="str">
        <f>'KE1 OUTPUT'!E25</f>
        <v>xy=1.45955519317848</v>
      </c>
      <c r="B25" s="112">
        <f>'KE1 OUTPUT'!F25</f>
        <v>0.28130805238120771</v>
      </c>
      <c r="C25" s="15">
        <f>'KE1 OUTPUT'!G25</f>
        <v>0</v>
      </c>
    </row>
    <row r="26" spans="1:3" x14ac:dyDescent="0.25">
      <c r="A26" s="15" t="str">
        <f>'KE1 OUTPUT'!E26</f>
        <v>xy=1.17955558525066</v>
      </c>
      <c r="B26" s="112">
        <f>'KE1 OUTPUT'!F26</f>
        <v>0.28177662496742145</v>
      </c>
      <c r="C26" s="15">
        <f>'KE1 OUTPUT'!G26</f>
        <v>0</v>
      </c>
    </row>
    <row r="27" spans="1:3" x14ac:dyDescent="0.25">
      <c r="A27" s="15" t="str">
        <f>'KE1 OUTPUT'!E27</f>
        <v>xy=1.17930121727528</v>
      </c>
      <c r="B27" s="112">
        <f>'KE1 OUTPUT'!F27</f>
        <v>0.1297768378066064</v>
      </c>
      <c r="C27" s="15">
        <f>'KE1 OUTPUT'!G27</f>
        <v>0</v>
      </c>
    </row>
    <row r="28" spans="1:3" x14ac:dyDescent="0.25">
      <c r="A28" s="15" t="str">
        <f>'KE1 OUTPUT'!E28</f>
        <v>xy=0.918301582742569</v>
      </c>
      <c r="B28" s="112">
        <f>'KE1 OUTPUT'!F28</f>
        <v>0.13021361439589862</v>
      </c>
      <c r="C28" s="15">
        <f>'KE1 OUTPUT'!G28</f>
        <v>0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G6"/>
  <sheetViews>
    <sheetView workbookViewId="0">
      <selection activeCell="D9" sqref="D9"/>
    </sheetView>
  </sheetViews>
  <sheetFormatPr defaultRowHeight="11.5" x14ac:dyDescent="0.25"/>
  <sheetData>
    <row r="1" spans="1:7" x14ac:dyDescent="0.25">
      <c r="A1" t="s">
        <v>86</v>
      </c>
      <c r="B1" s="98">
        <f>Calculations!H126/1000</f>
        <v>-2.3800033944809216</v>
      </c>
      <c r="C1" s="98">
        <f>Calculations!I126/1000</f>
        <v>0</v>
      </c>
      <c r="D1">
        <v>0</v>
      </c>
      <c r="E1" t="str">
        <f t="shared" ref="E1:E6" si="0">CONCATENATE(A1,B1)</f>
        <v>xy=-2.38000339448092</v>
      </c>
      <c r="F1" s="98">
        <f t="shared" ref="F1:G6" si="1">C1</f>
        <v>0</v>
      </c>
      <c r="G1" s="98">
        <f t="shared" si="1"/>
        <v>0</v>
      </c>
    </row>
    <row r="2" spans="1:7" x14ac:dyDescent="0.25">
      <c r="A2" t="s">
        <v>86</v>
      </c>
      <c r="B2" s="98">
        <f>Calculations!H127/1000</f>
        <v>-2.3800033944809216</v>
      </c>
      <c r="C2" s="98">
        <f>Calculations!I127/1000</f>
        <v>3.8</v>
      </c>
      <c r="D2">
        <v>0</v>
      </c>
      <c r="E2" t="str">
        <f t="shared" si="0"/>
        <v>xy=-2.38000339448092</v>
      </c>
      <c r="F2" s="98">
        <f t="shared" si="1"/>
        <v>3.8</v>
      </c>
      <c r="G2" s="98">
        <f t="shared" si="1"/>
        <v>0</v>
      </c>
    </row>
    <row r="3" spans="1:7" x14ac:dyDescent="0.25">
      <c r="A3" t="s">
        <v>86</v>
      </c>
      <c r="B3" s="98">
        <f>Calculations!H128/1000</f>
        <v>-1.884390154062803</v>
      </c>
      <c r="C3" s="98">
        <f>Calculations!I128/1000</f>
        <v>4.742</v>
      </c>
      <c r="D3">
        <v>0</v>
      </c>
      <c r="E3" t="str">
        <f t="shared" si="0"/>
        <v>xy=-1.8843901540628</v>
      </c>
      <c r="F3" s="98">
        <f t="shared" si="1"/>
        <v>4.742</v>
      </c>
      <c r="G3" s="98">
        <f t="shared" si="1"/>
        <v>0</v>
      </c>
    </row>
    <row r="4" spans="1:7" x14ac:dyDescent="0.25">
      <c r="A4" t="s">
        <v>86</v>
      </c>
      <c r="B4" s="98">
        <f>Calculations!H129/1000</f>
        <v>1.4878466000558346</v>
      </c>
      <c r="C4" s="98">
        <f>Calculations!I129/1000</f>
        <v>4.742</v>
      </c>
      <c r="D4">
        <v>0</v>
      </c>
      <c r="E4" t="str">
        <f t="shared" si="0"/>
        <v>xy=1.48784660005583</v>
      </c>
      <c r="F4" s="98">
        <f t="shared" si="1"/>
        <v>4.742</v>
      </c>
      <c r="G4" s="98">
        <f t="shared" si="1"/>
        <v>0</v>
      </c>
    </row>
    <row r="5" spans="1:7" x14ac:dyDescent="0.25">
      <c r="A5" t="s">
        <v>86</v>
      </c>
      <c r="B5" s="98">
        <f>Calculations!H130/1000</f>
        <v>2.062233359637716</v>
      </c>
      <c r="C5" s="98">
        <f>Calculations!I130/1000</f>
        <v>3.8</v>
      </c>
      <c r="D5">
        <v>0</v>
      </c>
      <c r="E5" t="str">
        <f t="shared" si="0"/>
        <v>xy=2.06223335963772</v>
      </c>
      <c r="F5" s="98">
        <f t="shared" si="1"/>
        <v>3.8</v>
      </c>
      <c r="G5" s="98">
        <f t="shared" si="1"/>
        <v>0</v>
      </c>
    </row>
    <row r="6" spans="1:7" x14ac:dyDescent="0.25">
      <c r="A6" t="s">
        <v>86</v>
      </c>
      <c r="B6" s="98">
        <f>Calculations!H131/1000</f>
        <v>2.062233359637716</v>
      </c>
      <c r="C6" s="98">
        <f>Calculations!I131/1000</f>
        <v>0</v>
      </c>
      <c r="D6">
        <v>0</v>
      </c>
      <c r="E6" t="str">
        <f t="shared" si="0"/>
        <v>xy=2.06223335963772</v>
      </c>
      <c r="F6" s="98">
        <f t="shared" si="1"/>
        <v>0</v>
      </c>
      <c r="G6" s="98">
        <f t="shared" si="1"/>
        <v>0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6"/>
  <sheetViews>
    <sheetView workbookViewId="0">
      <selection activeCell="D16" sqref="D16"/>
    </sheetView>
  </sheetViews>
  <sheetFormatPr defaultRowHeight="11.5" x14ac:dyDescent="0.25"/>
  <cols>
    <col min="1" max="1" width="20.69921875" bestFit="1" customWidth="1"/>
  </cols>
  <sheetData>
    <row r="1" spans="1:3" x14ac:dyDescent="0.25">
      <c r="A1" t="str">
        <f>'SG OUTPUT'!E1</f>
        <v>xy=-2.38000339448092</v>
      </c>
      <c r="B1">
        <f>'SG OUTPUT'!F1</f>
        <v>0</v>
      </c>
      <c r="C1">
        <f>'SG OUTPUT'!G1</f>
        <v>0</v>
      </c>
    </row>
    <row r="2" spans="1:3" x14ac:dyDescent="0.25">
      <c r="A2" t="str">
        <f>'SG OUTPUT'!E2</f>
        <v>xy=-2.38000339448092</v>
      </c>
      <c r="B2">
        <f>'SG OUTPUT'!F2</f>
        <v>3.8</v>
      </c>
      <c r="C2">
        <f>'SG OUTPUT'!G2</f>
        <v>0</v>
      </c>
    </row>
    <row r="3" spans="1:3" x14ac:dyDescent="0.25">
      <c r="A3" t="str">
        <f>'SG OUTPUT'!E3</f>
        <v>xy=-1.8843901540628</v>
      </c>
      <c r="B3">
        <f>'SG OUTPUT'!F3</f>
        <v>4.742</v>
      </c>
      <c r="C3">
        <f>'SG OUTPUT'!G3</f>
        <v>0</v>
      </c>
    </row>
    <row r="4" spans="1:3" x14ac:dyDescent="0.25">
      <c r="A4" t="str">
        <f>'SG OUTPUT'!E4</f>
        <v>xy=1.48784660005583</v>
      </c>
      <c r="B4">
        <f>'SG OUTPUT'!F4</f>
        <v>4.742</v>
      </c>
      <c r="C4">
        <f>'SG OUTPUT'!G4</f>
        <v>0</v>
      </c>
    </row>
    <row r="5" spans="1:3" x14ac:dyDescent="0.25">
      <c r="A5" t="str">
        <f>'SG OUTPUT'!E5</f>
        <v>xy=2.06223335963772</v>
      </c>
      <c r="B5">
        <f>'SG OUTPUT'!F5</f>
        <v>3.8</v>
      </c>
      <c r="C5">
        <f>'SG OUTPUT'!G5</f>
        <v>0</v>
      </c>
    </row>
    <row r="6" spans="1:3" x14ac:dyDescent="0.25">
      <c r="A6" t="str">
        <f>'SG OUTPUT'!E6</f>
        <v>xy=2.06223335963772</v>
      </c>
      <c r="B6">
        <f>'SG OUTPUT'!F6</f>
        <v>0</v>
      </c>
      <c r="C6">
        <f>'SG OUTPUT'!G6</f>
        <v>0</v>
      </c>
    </row>
  </sheetData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16"/>
  <sheetViews>
    <sheetView workbookViewId="0">
      <selection activeCell="A15" sqref="A15"/>
    </sheetView>
  </sheetViews>
  <sheetFormatPr defaultRowHeight="11.5" x14ac:dyDescent="0.25"/>
  <sheetData>
    <row r="1" spans="1:1" x14ac:dyDescent="0.25">
      <c r="A1" t="str">
        <f>'TEXT OUTPUT'!D1</f>
        <v>STANDARD = RailCorp</v>
      </c>
    </row>
    <row r="2" spans="1:1" x14ac:dyDescent="0.25">
      <c r="A2" t="str">
        <f>'TEXT OUTPUT'!D2</f>
        <v>VEHICLE = Narrow Non-Electric</v>
      </c>
    </row>
    <row r="3" spans="1:1" x14ac:dyDescent="0.25">
      <c r="A3" t="str">
        <f>'TEXT OUTPUT'!D3</f>
        <v>SLEEPER = Concrete</v>
      </c>
    </row>
    <row r="4" spans="1:1" x14ac:dyDescent="0.25">
      <c r="A4" t="str">
        <f>'TEXT OUTPUT'!D4</f>
        <v>CURVE RADIUS = 200m</v>
      </c>
    </row>
    <row r="5" spans="1:1" x14ac:dyDescent="0.25">
      <c r="A5" t="str">
        <f>'TEXT OUTPUT'!D5</f>
        <v>SUPERELEVATION = 60mm</v>
      </c>
    </row>
    <row r="7" spans="1:1" x14ac:dyDescent="0.25">
      <c r="A7" t="str">
        <f>'TEXT OUTPUT'!D7</f>
        <v>SUPER VARIANCE = 150mm</v>
      </c>
    </row>
    <row r="8" spans="1:1" x14ac:dyDescent="0.25">
      <c r="A8" t="str">
        <f>'TEXT OUTPUT'!D8</f>
        <v>MISALIGNMENT = 25mm</v>
      </c>
    </row>
    <row r="9" spans="1:1" x14ac:dyDescent="0.25">
      <c r="A9" t="str">
        <f>'TEXT OUTPUT'!D9</f>
        <v>RAIL WEAR = 15mm</v>
      </c>
    </row>
    <row r="10" spans="1:1" x14ac:dyDescent="0.25">
      <c r="A10" t="str">
        <f>'TEXT OUTPUT'!D10</f>
        <v>VERTICAL TRACK TOLERANCE = 100mm</v>
      </c>
    </row>
    <row r="12" spans="1:1" x14ac:dyDescent="0.25">
      <c r="A12" t="str">
        <f>'TEXT OUTPUT'!D12</f>
        <v>CENTRE THROW = 163.1mm</v>
      </c>
    </row>
    <row r="13" spans="1:1" x14ac:dyDescent="0.25">
      <c r="A13" t="str">
        <f>'TEXT OUTPUT'!D13</f>
        <v>END THROW = 161.1mm</v>
      </c>
    </row>
    <row r="14" spans="1:1" x14ac:dyDescent="0.25">
      <c r="A14" t="str">
        <f>'TEXT OUTPUT'!D14</f>
        <v>BODY ROLL = 2DEGREES</v>
      </c>
    </row>
    <row r="15" spans="1:1" x14ac:dyDescent="0.25">
      <c r="A15" t="str">
        <f>'TEXT OUTPUT'!D15</f>
        <v>VEHICLE BOUNCE = 50mm</v>
      </c>
    </row>
    <row r="16" spans="1:1" x14ac:dyDescent="0.25">
      <c r="A16" t="str">
        <f>'TEXT OUTPUT'!D16</f>
        <v>LATERAL DISPLACEMENT = 60mm</v>
      </c>
    </row>
  </sheetData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D16"/>
  <sheetViews>
    <sheetView workbookViewId="0">
      <selection activeCell="B16" sqref="B16"/>
    </sheetView>
  </sheetViews>
  <sheetFormatPr defaultRowHeight="11.5" x14ac:dyDescent="0.25"/>
  <cols>
    <col min="1" max="1" width="24.296875" bestFit="1" customWidth="1"/>
    <col min="2" max="2" width="16.8984375" bestFit="1" customWidth="1"/>
  </cols>
  <sheetData>
    <row r="1" spans="1:4" x14ac:dyDescent="0.25">
      <c r="A1" t="s">
        <v>105</v>
      </c>
      <c r="B1" t="str">
        <f>INPUT!E4</f>
        <v>RailCorp</v>
      </c>
      <c r="D1" t="str">
        <f>CONCATENATE(A1,B1,C1)</f>
        <v>STANDARD = RailCorp</v>
      </c>
    </row>
    <row r="2" spans="1:4" x14ac:dyDescent="0.25">
      <c r="A2" t="s">
        <v>89</v>
      </c>
      <c r="B2" t="str">
        <f>INPUT!C4</f>
        <v>Narrow Non-Electric</v>
      </c>
      <c r="D2" t="str">
        <f>CONCATENATE(A2,B2,C2)</f>
        <v>VEHICLE = Narrow Non-Electric</v>
      </c>
    </row>
    <row r="3" spans="1:4" x14ac:dyDescent="0.25">
      <c r="A3" t="s">
        <v>88</v>
      </c>
      <c r="B3" t="str">
        <f>INPUT!C6</f>
        <v>Concrete</v>
      </c>
      <c r="D3" t="str">
        <f t="shared" ref="D3:D10" si="0">CONCATENATE(A3,B3,C3)</f>
        <v>SLEEPER = Concrete</v>
      </c>
    </row>
    <row r="4" spans="1:4" x14ac:dyDescent="0.25">
      <c r="A4" t="s">
        <v>87</v>
      </c>
      <c r="B4" s="98">
        <f>INPUT!C8</f>
        <v>200</v>
      </c>
      <c r="C4" t="s">
        <v>79</v>
      </c>
      <c r="D4" t="str">
        <f t="shared" si="0"/>
        <v>CURVE RADIUS = 200m</v>
      </c>
    </row>
    <row r="5" spans="1:4" x14ac:dyDescent="0.25">
      <c r="A5" t="s">
        <v>90</v>
      </c>
      <c r="B5" s="117">
        <f>INPUT!C10</f>
        <v>60</v>
      </c>
      <c r="C5" t="s">
        <v>77</v>
      </c>
      <c r="D5" t="str">
        <f t="shared" si="0"/>
        <v>SUPERELEVATION = 60mm</v>
      </c>
    </row>
    <row r="6" spans="1:4" x14ac:dyDescent="0.25">
      <c r="D6" t="str">
        <f t="shared" si="0"/>
        <v/>
      </c>
    </row>
    <row r="7" spans="1:4" x14ac:dyDescent="0.25">
      <c r="A7" t="s">
        <v>91</v>
      </c>
      <c r="B7">
        <f>VLOOKUP(INPUT!$C$6,'Vehicle &amp; Track Data'!$A$66:$G$68,6,FALSE)</f>
        <v>150</v>
      </c>
      <c r="C7" t="s">
        <v>77</v>
      </c>
      <c r="D7" t="str">
        <f t="shared" si="0"/>
        <v>SUPER VARIANCE = 150mm</v>
      </c>
    </row>
    <row r="8" spans="1:4" x14ac:dyDescent="0.25">
      <c r="A8" t="s">
        <v>92</v>
      </c>
      <c r="B8">
        <f>IF(INPUT!C8=0,Calculations!G4,Calculations!G5)</f>
        <v>25</v>
      </c>
      <c r="C8" t="s">
        <v>77</v>
      </c>
      <c r="D8" t="str">
        <f t="shared" si="0"/>
        <v>MISALIGNMENT = 25mm</v>
      </c>
    </row>
    <row r="9" spans="1:4" x14ac:dyDescent="0.25">
      <c r="A9" t="s">
        <v>99</v>
      </c>
      <c r="B9">
        <f>VLOOKUP(INPUT!$C$6,'Vehicle &amp; Track Data'!A66:G68,4,FALSE)</f>
        <v>15</v>
      </c>
      <c r="C9" t="s">
        <v>77</v>
      </c>
      <c r="D9" t="str">
        <f t="shared" si="0"/>
        <v>RAIL WEAR = 15mm</v>
      </c>
    </row>
    <row r="10" spans="1:4" x14ac:dyDescent="0.25">
      <c r="A10" t="s">
        <v>100</v>
      </c>
      <c r="B10">
        <f>Calculations!G6</f>
        <v>100</v>
      </c>
      <c r="C10" t="s">
        <v>77</v>
      </c>
      <c r="D10" t="str">
        <f t="shared" si="0"/>
        <v>VERTICAL TRACK TOLERANCE = 100mm</v>
      </c>
    </row>
    <row r="12" spans="1:4" x14ac:dyDescent="0.25">
      <c r="A12" t="s">
        <v>94</v>
      </c>
      <c r="B12" s="111">
        <f>ROUND(Calculations!AB22,1)</f>
        <v>163.1</v>
      </c>
      <c r="C12" t="s">
        <v>77</v>
      </c>
      <c r="D12" t="str">
        <f>CONCATENATE(A12,B12,C12)</f>
        <v>CENTRE THROW = 163.1mm</v>
      </c>
    </row>
    <row r="13" spans="1:4" x14ac:dyDescent="0.25">
      <c r="A13" t="s">
        <v>95</v>
      </c>
      <c r="B13" s="111">
        <f>ROUND(Calculations!AC22,1)</f>
        <v>161.1</v>
      </c>
      <c r="C13" t="s">
        <v>77</v>
      </c>
      <c r="D13" t="str">
        <f>CONCATENATE(A13,B13,C13)</f>
        <v>END THROW = 161.1mm</v>
      </c>
    </row>
    <row r="14" spans="1:4" x14ac:dyDescent="0.25">
      <c r="A14" t="s">
        <v>96</v>
      </c>
      <c r="B14">
        <f>VLOOKUP(INPUT!$C$4,'Vehicle &amp; Track Data'!$A$44:$H$60,6,FALSE)</f>
        <v>2</v>
      </c>
      <c r="C14" t="s">
        <v>97</v>
      </c>
      <c r="D14" t="str">
        <f>CONCATENATE(A14,B14,C14)</f>
        <v>BODY ROLL = 2DEGREES</v>
      </c>
    </row>
    <row r="15" spans="1:4" x14ac:dyDescent="0.25">
      <c r="A15" t="s">
        <v>98</v>
      </c>
      <c r="B15">
        <f>VLOOKUP(INPUT!$C$4,'Vehicle &amp; Track Data'!$A$44:$H$60,7,FALSE)</f>
        <v>50</v>
      </c>
      <c r="C15" t="s">
        <v>77</v>
      </c>
      <c r="D15" t="str">
        <f>CONCATENATE(A15,B15,C15)</f>
        <v>VEHICLE BOUNCE = 50mm</v>
      </c>
    </row>
    <row r="16" spans="1:4" x14ac:dyDescent="0.25">
      <c r="A16" t="s">
        <v>93</v>
      </c>
      <c r="B16">
        <f>VLOOKUP(INPUT!$C$4,'Vehicle &amp; Track Data'!$A$44:$H$60,8,FALSE)</f>
        <v>60</v>
      </c>
      <c r="C16" t="s">
        <v>77</v>
      </c>
      <c r="D16" t="str">
        <f>CONCATENATE(A16,B16,C16)</f>
        <v>LATERAL DISPLACEMENT = 60mm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G28"/>
  <sheetViews>
    <sheetView workbookViewId="0">
      <selection activeCell="O36" sqref="O36"/>
    </sheetView>
  </sheetViews>
  <sheetFormatPr defaultRowHeight="11.5" x14ac:dyDescent="0.25"/>
  <cols>
    <col min="5" max="5" width="20.69921875" bestFit="1" customWidth="1"/>
  </cols>
  <sheetData>
    <row r="1" spans="1:7" x14ac:dyDescent="0.25">
      <c r="A1" t="s">
        <v>86</v>
      </c>
      <c r="B1">
        <f>Calculations!L94/1000</f>
        <v>-0.68202064107814453</v>
      </c>
      <c r="C1">
        <f>Calculations!M94/1000</f>
        <v>7.6475258028294094E-2</v>
      </c>
      <c r="D1">
        <v>0</v>
      </c>
      <c r="E1" t="str">
        <f>CONCATENATE(A1,B1)</f>
        <v>xy=-0.682020641078145</v>
      </c>
      <c r="F1">
        <f>C1</f>
        <v>7.6475258028294094E-2</v>
      </c>
      <c r="G1">
        <f>D1</f>
        <v>0</v>
      </c>
    </row>
    <row r="2" spans="1:7" x14ac:dyDescent="0.25">
      <c r="A2" t="s">
        <v>86</v>
      </c>
      <c r="B2">
        <f>Calculations!L95/1000</f>
        <v>-0.67903060785555314</v>
      </c>
      <c r="C2">
        <f>Calculations!M95/1000</f>
        <v>1.5348837209302323E-3</v>
      </c>
      <c r="D2">
        <v>0</v>
      </c>
      <c r="E2" t="str">
        <f t="shared" ref="E2:E28" si="0">CONCATENATE(A2,B2)</f>
        <v>xy=-0.679030607855553</v>
      </c>
      <c r="F2">
        <f t="shared" ref="F2:F28" si="1">C2</f>
        <v>1.5348837209302323E-3</v>
      </c>
      <c r="G2">
        <f t="shared" ref="G2:G28" si="2">D2</f>
        <v>0</v>
      </c>
    </row>
    <row r="3" spans="1:7" x14ac:dyDescent="0.25">
      <c r="A3" t="s">
        <v>86</v>
      </c>
      <c r="B3">
        <f>Calculations!L96/1000</f>
        <v>-0.93982311044517941</v>
      </c>
      <c r="C3">
        <f>Calculations!M96/1000</f>
        <v>-8.870431893687707E-3</v>
      </c>
      <c r="D3">
        <v>0</v>
      </c>
      <c r="E3" t="str">
        <f t="shared" si="0"/>
        <v>xy=-0.939823110445179</v>
      </c>
      <c r="F3">
        <f t="shared" si="1"/>
        <v>-8.870431893687707E-3</v>
      </c>
      <c r="G3">
        <f t="shared" si="2"/>
        <v>0</v>
      </c>
    </row>
    <row r="4" spans="1:7" x14ac:dyDescent="0.25">
      <c r="A4" t="s">
        <v>86</v>
      </c>
      <c r="B4">
        <f>Calculations!L97/1000</f>
        <v>-0.94588291110963119</v>
      </c>
      <c r="C4">
        <f>Calculations!M97/1000</f>
        <v>0.1430087267025697</v>
      </c>
      <c r="D4">
        <v>0</v>
      </c>
      <c r="E4" t="str">
        <f t="shared" si="0"/>
        <v>xy=-0.945882911109631</v>
      </c>
      <c r="F4">
        <f t="shared" si="1"/>
        <v>0.1430087267025697</v>
      </c>
      <c r="G4">
        <f t="shared" si="2"/>
        <v>0</v>
      </c>
    </row>
    <row r="5" spans="1:7" x14ac:dyDescent="0.25">
      <c r="A5" t="s">
        <v>86</v>
      </c>
      <c r="B5">
        <f>Calculations!L98/1000</f>
        <v>-1.2256603085237896</v>
      </c>
      <c r="C5">
        <f>Calculations!M98/1000</f>
        <v>0.1318459360048953</v>
      </c>
      <c r="D5">
        <v>0</v>
      </c>
      <c r="E5" t="str">
        <f t="shared" si="0"/>
        <v>xy=-1.22566030852379</v>
      </c>
      <c r="F5">
        <f t="shared" si="1"/>
        <v>0.1318459360048953</v>
      </c>
      <c r="G5">
        <f t="shared" si="2"/>
        <v>0</v>
      </c>
    </row>
    <row r="6" spans="1:7" x14ac:dyDescent="0.25">
      <c r="A6" t="s">
        <v>86</v>
      </c>
      <c r="B6">
        <f>Calculations!L99/1000</f>
        <v>-1.4631718085591741</v>
      </c>
      <c r="C6">
        <f>Calculations!M99/1000</f>
        <v>0.31552306400656477</v>
      </c>
      <c r="D6">
        <v>0</v>
      </c>
      <c r="E6" t="str">
        <f t="shared" si="0"/>
        <v>xy=-1.46317180855917</v>
      </c>
      <c r="F6">
        <f t="shared" si="1"/>
        <v>0.31552306400656477</v>
      </c>
      <c r="G6">
        <f t="shared" si="2"/>
        <v>0</v>
      </c>
    </row>
    <row r="7" spans="1:7" x14ac:dyDescent="0.25">
      <c r="A7" t="s">
        <v>86</v>
      </c>
      <c r="B7">
        <f>Calculations!L100/1000</f>
        <v>-1.4940688185259514</v>
      </c>
      <c r="C7">
        <f>Calculations!M100/1000</f>
        <v>1.0899069318493246</v>
      </c>
      <c r="D7">
        <v>0</v>
      </c>
      <c r="E7" t="str">
        <f t="shared" si="0"/>
        <v>xy=-1.49406881852595</v>
      </c>
      <c r="F7">
        <f t="shared" si="1"/>
        <v>1.0899069318493246</v>
      </c>
      <c r="G7">
        <f t="shared" si="2"/>
        <v>0</v>
      </c>
    </row>
    <row r="8" spans="1:7" x14ac:dyDescent="0.25">
      <c r="A8" t="s">
        <v>86</v>
      </c>
      <c r="B8">
        <f>Calculations!L101/1000</f>
        <v>-1.5290409932027211</v>
      </c>
      <c r="C8">
        <f>Calculations!M101/1000</f>
        <v>1.088511583012115</v>
      </c>
      <c r="D8">
        <v>0</v>
      </c>
      <c r="E8" t="str">
        <f t="shared" si="0"/>
        <v>xy=-1.52904099320272</v>
      </c>
      <c r="F8">
        <f t="shared" si="1"/>
        <v>1.088511583012115</v>
      </c>
      <c r="G8">
        <f t="shared" si="2"/>
        <v>0</v>
      </c>
    </row>
    <row r="9" spans="1:7" x14ac:dyDescent="0.25">
      <c r="A9" t="s">
        <v>86</v>
      </c>
      <c r="B9">
        <f>Calculations!L102/1000</f>
        <v>-1.6271140829037178</v>
      </c>
      <c r="C9">
        <f>Calculations!M102/1000</f>
        <v>3.5465558602936498</v>
      </c>
      <c r="D9">
        <v>0</v>
      </c>
      <c r="E9" t="str">
        <f t="shared" si="0"/>
        <v>xy=-1.62711408290372</v>
      </c>
      <c r="F9">
        <f t="shared" si="1"/>
        <v>3.5465558602936498</v>
      </c>
      <c r="G9">
        <f t="shared" si="2"/>
        <v>0</v>
      </c>
    </row>
    <row r="10" spans="1:7" x14ac:dyDescent="0.25">
      <c r="A10" t="s">
        <v>86</v>
      </c>
      <c r="B10">
        <f>Calculations!L103/1000</f>
        <v>-1.405696258911187</v>
      </c>
      <c r="C10">
        <f>Calculations!M103/1000</f>
        <v>3.8916575079547591</v>
      </c>
      <c r="D10">
        <v>0</v>
      </c>
      <c r="E10" t="str">
        <f t="shared" si="0"/>
        <v>xy=-1.40569625891119</v>
      </c>
      <c r="F10">
        <f t="shared" si="1"/>
        <v>3.8916575079547591</v>
      </c>
      <c r="G10">
        <f t="shared" si="2"/>
        <v>0</v>
      </c>
    </row>
    <row r="11" spans="1:7" x14ac:dyDescent="0.25">
      <c r="A11" t="s">
        <v>86</v>
      </c>
      <c r="B11">
        <f>Calculations!L104/1000</f>
        <v>-1.225786857214374</v>
      </c>
      <c r="C11">
        <f>Calculations!M104/1000</f>
        <v>4.0229343420919923</v>
      </c>
      <c r="D11">
        <v>0</v>
      </c>
      <c r="E11" t="str">
        <f t="shared" si="0"/>
        <v>xy=-1.22578685721437</v>
      </c>
      <c r="F11">
        <f t="shared" si="1"/>
        <v>4.0229343420919923</v>
      </c>
      <c r="G11">
        <f t="shared" si="2"/>
        <v>0</v>
      </c>
    </row>
    <row r="12" spans="1:7" x14ac:dyDescent="0.25">
      <c r="A12" t="s">
        <v>86</v>
      </c>
      <c r="B12">
        <f>Calculations!L105/1000</f>
        <v>-0.92700940147627697</v>
      </c>
      <c r="C12">
        <f>Calculations!M105/1000</f>
        <v>4.1849745591452585</v>
      </c>
      <c r="D12">
        <v>0</v>
      </c>
      <c r="E12" t="str">
        <f t="shared" si="0"/>
        <v>xy=-0.927009401476277</v>
      </c>
      <c r="F12">
        <f t="shared" si="1"/>
        <v>4.1849745591452585</v>
      </c>
      <c r="G12">
        <f t="shared" si="2"/>
        <v>0</v>
      </c>
    </row>
    <row r="13" spans="1:7" x14ac:dyDescent="0.25">
      <c r="A13" t="s">
        <v>86</v>
      </c>
      <c r="B13">
        <f>Calculations!L106/1000</f>
        <v>-0.62544124806376133</v>
      </c>
      <c r="C13">
        <f>Calculations!M106/1000</f>
        <v>4.2770704268449853</v>
      </c>
      <c r="D13">
        <v>0</v>
      </c>
      <c r="E13" t="str">
        <f t="shared" si="0"/>
        <v>xy=-0.625441248063761</v>
      </c>
      <c r="F13">
        <f t="shared" si="1"/>
        <v>4.2770704268449853</v>
      </c>
      <c r="G13">
        <f t="shared" si="2"/>
        <v>0</v>
      </c>
    </row>
    <row r="14" spans="1:7" x14ac:dyDescent="0.25">
      <c r="A14" t="s">
        <v>86</v>
      </c>
      <c r="B14">
        <f>Calculations!L107/1000</f>
        <v>-0.17080297726575397</v>
      </c>
      <c r="C14">
        <f>Calculations!M107/1000</f>
        <v>4.2952099617287072</v>
      </c>
      <c r="D14">
        <v>0</v>
      </c>
      <c r="E14" t="str">
        <f t="shared" si="0"/>
        <v>xy=-0.170802977265754</v>
      </c>
      <c r="F14">
        <f t="shared" si="1"/>
        <v>4.2952099617287072</v>
      </c>
      <c r="G14">
        <f t="shared" si="2"/>
        <v>0</v>
      </c>
    </row>
    <row r="15" spans="1:7" x14ac:dyDescent="0.25">
      <c r="A15" t="s">
        <v>86</v>
      </c>
      <c r="B15">
        <f>Calculations!L108/1000</f>
        <v>-0.17080297726575397</v>
      </c>
      <c r="C15">
        <f>Calculations!M108/1000</f>
        <v>4.2952099617287072</v>
      </c>
      <c r="D15">
        <v>0</v>
      </c>
      <c r="E15" t="str">
        <f t="shared" si="0"/>
        <v>xy=-0.170802977265754</v>
      </c>
      <c r="F15">
        <f t="shared" si="1"/>
        <v>4.2952099617287072</v>
      </c>
      <c r="G15">
        <f t="shared" si="2"/>
        <v>0</v>
      </c>
    </row>
    <row r="16" spans="1:7" x14ac:dyDescent="0.25">
      <c r="A16" t="s">
        <v>86</v>
      </c>
      <c r="B16">
        <f>Calculations!L109/1000</f>
        <v>-0.17080297726575397</v>
      </c>
      <c r="C16">
        <f>Calculations!M109/1000</f>
        <v>4.2952099617287072</v>
      </c>
      <c r="D16">
        <v>0</v>
      </c>
      <c r="E16" t="str">
        <f t="shared" si="0"/>
        <v>xy=-0.170802977265754</v>
      </c>
      <c r="F16">
        <f t="shared" si="1"/>
        <v>4.2952099617287072</v>
      </c>
      <c r="G16">
        <f t="shared" si="2"/>
        <v>0</v>
      </c>
    </row>
    <row r="17" spans="1:7" x14ac:dyDescent="0.25">
      <c r="A17" t="s">
        <v>86</v>
      </c>
      <c r="B17">
        <f>Calculations!L110/1000</f>
        <v>0.28383529353225345</v>
      </c>
      <c r="C17">
        <f>Calculations!M110/1000</f>
        <v>4.3133494966124273</v>
      </c>
      <c r="D17">
        <v>0</v>
      </c>
      <c r="E17" t="str">
        <f t="shared" si="0"/>
        <v>xy=0.283835293532253</v>
      </c>
      <c r="F17">
        <f t="shared" si="1"/>
        <v>4.3133494966124273</v>
      </c>
      <c r="G17">
        <f t="shared" si="2"/>
        <v>0</v>
      </c>
    </row>
    <row r="18" spans="1:7" x14ac:dyDescent="0.25">
      <c r="A18" t="s">
        <v>86</v>
      </c>
      <c r="B18">
        <f>Calculations!L111/1000</f>
        <v>0.59178218448629716</v>
      </c>
      <c r="C18">
        <f>Calculations!M111/1000</f>
        <v>4.2455725657897769</v>
      </c>
      <c r="D18">
        <v>0</v>
      </c>
      <c r="E18" t="str">
        <f t="shared" si="0"/>
        <v>xy=0.591782184486297</v>
      </c>
      <c r="F18">
        <f t="shared" si="1"/>
        <v>4.2455725657897769</v>
      </c>
      <c r="G18">
        <f t="shared" si="2"/>
        <v>0</v>
      </c>
    </row>
    <row r="19" spans="1:7" x14ac:dyDescent="0.25">
      <c r="A19" t="s">
        <v>86</v>
      </c>
      <c r="B19">
        <f>Calculations!L112/1000</f>
        <v>0.90251977311475962</v>
      </c>
      <c r="C19">
        <f>Calculations!M112/1000</f>
        <v>4.107851285613588</v>
      </c>
      <c r="D19">
        <v>0</v>
      </c>
      <c r="E19" t="str">
        <f t="shared" si="0"/>
        <v>xy=0.90251977311476</v>
      </c>
      <c r="F19">
        <f t="shared" si="1"/>
        <v>4.107851285613588</v>
      </c>
      <c r="G19">
        <f t="shared" si="2"/>
        <v>0</v>
      </c>
    </row>
    <row r="20" spans="1:7" x14ac:dyDescent="0.25">
      <c r="A20" t="s">
        <v>86</v>
      </c>
      <c r="B20">
        <f>Calculations!L113/1000</f>
        <v>1.0923162180009416</v>
      </c>
      <c r="C20">
        <f>Calculations!M113/1000</f>
        <v>3.9913252820411382</v>
      </c>
      <c r="D20">
        <v>0</v>
      </c>
      <c r="E20" t="str">
        <f t="shared" si="0"/>
        <v>xy=1.09231621800094</v>
      </c>
      <c r="F20">
        <f t="shared" si="1"/>
        <v>3.9913252820411382</v>
      </c>
      <c r="G20">
        <f t="shared" si="2"/>
        <v>0</v>
      </c>
    </row>
    <row r="21" spans="1:7" x14ac:dyDescent="0.25">
      <c r="A21" t="s">
        <v>86</v>
      </c>
      <c r="B21">
        <f>Calculations!L114/1000</f>
        <v>1.3405247396678908</v>
      </c>
      <c r="C21">
        <f>Calculations!M114/1000</f>
        <v>3.6649611759082679</v>
      </c>
      <c r="D21">
        <v>0</v>
      </c>
      <c r="E21" t="str">
        <f t="shared" si="0"/>
        <v>xy=1.34052473966789</v>
      </c>
      <c r="F21">
        <f t="shared" si="1"/>
        <v>3.6649611759082679</v>
      </c>
      <c r="G21">
        <f t="shared" si="2"/>
        <v>0</v>
      </c>
    </row>
    <row r="22" spans="1:7" x14ac:dyDescent="0.25">
      <c r="A22" t="s">
        <v>86</v>
      </c>
      <c r="B22">
        <f>Calculations!L115/1000</f>
        <v>1.4385978293688875</v>
      </c>
      <c r="C22">
        <f>Calculations!M115/1000</f>
        <v>1.2069168986267331</v>
      </c>
      <c r="D22">
        <v>0</v>
      </c>
      <c r="E22" t="str">
        <f t="shared" si="0"/>
        <v>xy=1.43859782936889</v>
      </c>
      <c r="F22">
        <f t="shared" si="1"/>
        <v>1.2069168986267331</v>
      </c>
      <c r="G22">
        <f t="shared" si="2"/>
        <v>0</v>
      </c>
    </row>
    <row r="23" spans="1:7" x14ac:dyDescent="0.25">
      <c r="A23" t="s">
        <v>86</v>
      </c>
      <c r="B23">
        <f>Calculations!L116/1000</f>
        <v>1.4036256546921175</v>
      </c>
      <c r="C23">
        <f>Calculations!M116/1000</f>
        <v>1.2055215497895237</v>
      </c>
      <c r="D23">
        <v>0</v>
      </c>
      <c r="E23" t="str">
        <f t="shared" si="0"/>
        <v>xy=1.40362565469212</v>
      </c>
      <c r="F23">
        <f t="shared" si="1"/>
        <v>1.2055215497895237</v>
      </c>
      <c r="G23">
        <f t="shared" si="2"/>
        <v>0</v>
      </c>
    </row>
    <row r="24" spans="1:7" x14ac:dyDescent="0.25">
      <c r="A24" t="s">
        <v>86</v>
      </c>
      <c r="B24">
        <f>Calculations!L117/1000</f>
        <v>1.4345226646588949</v>
      </c>
      <c r="C24">
        <f>Calculations!M117/1000</f>
        <v>0.43113768194676411</v>
      </c>
      <c r="D24">
        <v>0</v>
      </c>
      <c r="E24" t="str">
        <f t="shared" si="0"/>
        <v>xy=1.43452266465889</v>
      </c>
      <c r="F24">
        <f t="shared" si="1"/>
        <v>0.43113768194676411</v>
      </c>
      <c r="G24">
        <f t="shared" si="2"/>
        <v>0</v>
      </c>
    </row>
    <row r="25" spans="1:7" x14ac:dyDescent="0.25">
      <c r="A25" t="s">
        <v>86</v>
      </c>
      <c r="B25">
        <f>Calculations!L118/1000</f>
        <v>1.2123998689424478</v>
      </c>
      <c r="C25">
        <f>Calculations!M118/1000</f>
        <v>0.22912168351320095</v>
      </c>
      <c r="D25">
        <v>0</v>
      </c>
      <c r="E25" t="str">
        <f t="shared" si="0"/>
        <v>xy=1.21239986894245</v>
      </c>
      <c r="F25">
        <f t="shared" si="1"/>
        <v>0.22912168351320095</v>
      </c>
      <c r="G25">
        <f t="shared" si="2"/>
        <v>0</v>
      </c>
    </row>
    <row r="26" spans="1:7" x14ac:dyDescent="0.25">
      <c r="A26" t="s">
        <v>86</v>
      </c>
      <c r="B26">
        <f>Calculations!L119/1000</f>
        <v>0.93262247152828925</v>
      </c>
      <c r="C26">
        <f>Calculations!M119/1000</f>
        <v>0.21795889281552649</v>
      </c>
      <c r="D26">
        <v>0</v>
      </c>
      <c r="E26" t="str">
        <f t="shared" si="0"/>
        <v>xy=0.932622471528289</v>
      </c>
      <c r="F26">
        <f t="shared" si="1"/>
        <v>0.21795889281552649</v>
      </c>
      <c r="G26">
        <f t="shared" si="2"/>
        <v>0</v>
      </c>
    </row>
    <row r="27" spans="1:7" x14ac:dyDescent="0.25">
      <c r="A27" t="s">
        <v>86</v>
      </c>
      <c r="B27">
        <f>Calculations!L120/1000</f>
        <v>0.93868227219274103</v>
      </c>
      <c r="C27">
        <f>Calculations!M120/1000</f>
        <v>6.6079734219269104E-2</v>
      </c>
      <c r="D27">
        <v>0</v>
      </c>
      <c r="E27" t="str">
        <f t="shared" si="0"/>
        <v>xy=0.938682272192741</v>
      </c>
      <c r="F27">
        <f t="shared" si="1"/>
        <v>6.6079734219269104E-2</v>
      </c>
      <c r="G27">
        <f t="shared" si="2"/>
        <v>0</v>
      </c>
    </row>
    <row r="28" spans="1:7" x14ac:dyDescent="0.25">
      <c r="A28" t="s">
        <v>86</v>
      </c>
      <c r="B28">
        <f>Calculations!L121/1000</f>
        <v>0.67788976960311498</v>
      </c>
      <c r="C28">
        <f>Calculations!M121/1000</f>
        <v>5.5674418604651159E-2</v>
      </c>
      <c r="D28">
        <v>0</v>
      </c>
      <c r="E28" t="str">
        <f t="shared" si="0"/>
        <v>xy=0.677889769603115</v>
      </c>
      <c r="F28">
        <f t="shared" si="1"/>
        <v>5.5674418604651159E-2</v>
      </c>
      <c r="G28">
        <f t="shared" si="2"/>
        <v>0</v>
      </c>
    </row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C28"/>
  <sheetViews>
    <sheetView workbookViewId="0">
      <selection activeCell="A27" sqref="A27"/>
    </sheetView>
  </sheetViews>
  <sheetFormatPr defaultRowHeight="11.5" x14ac:dyDescent="0.25"/>
  <cols>
    <col min="1" max="1" width="26" customWidth="1"/>
  </cols>
  <sheetData>
    <row r="1" spans="1:3" x14ac:dyDescent="0.25">
      <c r="A1" t="str">
        <f>'STATIC OUTPUT'!E1</f>
        <v>xy=-0.682020641078145</v>
      </c>
      <c r="B1" s="98">
        <f>'STATIC OUTPUT'!F1</f>
        <v>7.6475258028294094E-2</v>
      </c>
      <c r="C1">
        <f>'STATIC OUTPUT'!G1</f>
        <v>0</v>
      </c>
    </row>
    <row r="2" spans="1:3" x14ac:dyDescent="0.25">
      <c r="A2" t="str">
        <f>'STATIC OUTPUT'!E2</f>
        <v>xy=-0.679030607855553</v>
      </c>
      <c r="B2" s="98">
        <f>'STATIC OUTPUT'!F2</f>
        <v>1.5348837209302323E-3</v>
      </c>
      <c r="C2">
        <f>'STATIC OUTPUT'!G2</f>
        <v>0</v>
      </c>
    </row>
    <row r="3" spans="1:3" x14ac:dyDescent="0.25">
      <c r="A3" t="str">
        <f>'STATIC OUTPUT'!E3</f>
        <v>xy=-0.939823110445179</v>
      </c>
      <c r="B3" s="98">
        <f>'STATIC OUTPUT'!F3</f>
        <v>-8.870431893687707E-3</v>
      </c>
      <c r="C3">
        <f>'STATIC OUTPUT'!G3</f>
        <v>0</v>
      </c>
    </row>
    <row r="4" spans="1:3" x14ac:dyDescent="0.25">
      <c r="A4" t="str">
        <f>'STATIC OUTPUT'!E4</f>
        <v>xy=-0.945882911109631</v>
      </c>
      <c r="B4" s="98">
        <f>'STATIC OUTPUT'!F4</f>
        <v>0.1430087267025697</v>
      </c>
      <c r="C4">
        <f>'STATIC OUTPUT'!G4</f>
        <v>0</v>
      </c>
    </row>
    <row r="5" spans="1:3" x14ac:dyDescent="0.25">
      <c r="A5" t="str">
        <f>'STATIC OUTPUT'!E5</f>
        <v>xy=-1.22566030852379</v>
      </c>
      <c r="B5" s="98">
        <f>'STATIC OUTPUT'!F5</f>
        <v>0.1318459360048953</v>
      </c>
      <c r="C5">
        <f>'STATIC OUTPUT'!G5</f>
        <v>0</v>
      </c>
    </row>
    <row r="6" spans="1:3" x14ac:dyDescent="0.25">
      <c r="A6" t="str">
        <f>'STATIC OUTPUT'!E6</f>
        <v>xy=-1.46317180855917</v>
      </c>
      <c r="B6" s="98">
        <f>'STATIC OUTPUT'!F6</f>
        <v>0.31552306400656477</v>
      </c>
      <c r="C6">
        <f>'STATIC OUTPUT'!G6</f>
        <v>0</v>
      </c>
    </row>
    <row r="7" spans="1:3" x14ac:dyDescent="0.25">
      <c r="A7" t="str">
        <f>'STATIC OUTPUT'!E7</f>
        <v>xy=-1.49406881852595</v>
      </c>
      <c r="B7" s="98">
        <f>'STATIC OUTPUT'!F7</f>
        <v>1.0899069318493246</v>
      </c>
      <c r="C7">
        <f>'STATIC OUTPUT'!G7</f>
        <v>0</v>
      </c>
    </row>
    <row r="8" spans="1:3" x14ac:dyDescent="0.25">
      <c r="A8" t="str">
        <f>'STATIC OUTPUT'!E8</f>
        <v>xy=-1.52904099320272</v>
      </c>
      <c r="B8" s="98">
        <f>'STATIC OUTPUT'!F8</f>
        <v>1.088511583012115</v>
      </c>
      <c r="C8">
        <f>'STATIC OUTPUT'!G8</f>
        <v>0</v>
      </c>
    </row>
    <row r="9" spans="1:3" x14ac:dyDescent="0.25">
      <c r="A9" t="str">
        <f>'STATIC OUTPUT'!E9</f>
        <v>xy=-1.62711408290372</v>
      </c>
      <c r="B9" s="98">
        <f>'STATIC OUTPUT'!F9</f>
        <v>3.5465558602936498</v>
      </c>
      <c r="C9">
        <f>'STATIC OUTPUT'!G9</f>
        <v>0</v>
      </c>
    </row>
    <row r="10" spans="1:3" x14ac:dyDescent="0.25">
      <c r="A10" t="str">
        <f>'STATIC OUTPUT'!E10</f>
        <v>xy=-1.40569625891119</v>
      </c>
      <c r="B10" s="98">
        <f>'STATIC OUTPUT'!F10</f>
        <v>3.8916575079547591</v>
      </c>
      <c r="C10">
        <f>'STATIC OUTPUT'!G10</f>
        <v>0</v>
      </c>
    </row>
    <row r="11" spans="1:3" x14ac:dyDescent="0.25">
      <c r="A11" t="str">
        <f>'STATIC OUTPUT'!E11</f>
        <v>xy=-1.22578685721437</v>
      </c>
      <c r="B11" s="98">
        <f>'STATIC OUTPUT'!F11</f>
        <v>4.0229343420919923</v>
      </c>
      <c r="C11">
        <f>'STATIC OUTPUT'!G11</f>
        <v>0</v>
      </c>
    </row>
    <row r="12" spans="1:3" x14ac:dyDescent="0.25">
      <c r="A12" t="str">
        <f>'STATIC OUTPUT'!E12</f>
        <v>xy=-0.927009401476277</v>
      </c>
      <c r="B12" s="98">
        <f>'STATIC OUTPUT'!F12</f>
        <v>4.1849745591452585</v>
      </c>
      <c r="C12">
        <f>'STATIC OUTPUT'!G12</f>
        <v>0</v>
      </c>
    </row>
    <row r="13" spans="1:3" x14ac:dyDescent="0.25">
      <c r="A13" t="str">
        <f>'STATIC OUTPUT'!E13</f>
        <v>xy=-0.625441248063761</v>
      </c>
      <c r="B13" s="98">
        <f>'STATIC OUTPUT'!F13</f>
        <v>4.2770704268449853</v>
      </c>
      <c r="C13">
        <f>'STATIC OUTPUT'!G13</f>
        <v>0</v>
      </c>
    </row>
    <row r="14" spans="1:3" x14ac:dyDescent="0.25">
      <c r="A14" t="str">
        <f>'STATIC OUTPUT'!E14</f>
        <v>xy=-0.170802977265754</v>
      </c>
      <c r="B14" s="98">
        <f>'STATIC OUTPUT'!F14</f>
        <v>4.2952099617287072</v>
      </c>
      <c r="C14">
        <f>'STATIC OUTPUT'!G14</f>
        <v>0</v>
      </c>
    </row>
    <row r="15" spans="1:3" x14ac:dyDescent="0.25">
      <c r="A15" t="str">
        <f>'STATIC OUTPUT'!E15</f>
        <v>xy=-0.170802977265754</v>
      </c>
      <c r="B15" s="98">
        <f>'STATIC OUTPUT'!F15</f>
        <v>4.2952099617287072</v>
      </c>
      <c r="C15">
        <f>'STATIC OUTPUT'!G15</f>
        <v>0</v>
      </c>
    </row>
    <row r="16" spans="1:3" x14ac:dyDescent="0.25">
      <c r="A16" t="str">
        <f>'STATIC OUTPUT'!E16</f>
        <v>xy=-0.170802977265754</v>
      </c>
      <c r="B16" s="98">
        <f>'STATIC OUTPUT'!F16</f>
        <v>4.2952099617287072</v>
      </c>
      <c r="C16">
        <f>'STATIC OUTPUT'!G16</f>
        <v>0</v>
      </c>
    </row>
    <row r="17" spans="1:3" x14ac:dyDescent="0.25">
      <c r="A17" t="str">
        <f>'STATIC OUTPUT'!E17</f>
        <v>xy=0.283835293532253</v>
      </c>
      <c r="B17" s="98">
        <f>'STATIC OUTPUT'!F17</f>
        <v>4.3133494966124273</v>
      </c>
      <c r="C17">
        <f>'STATIC OUTPUT'!G17</f>
        <v>0</v>
      </c>
    </row>
    <row r="18" spans="1:3" x14ac:dyDescent="0.25">
      <c r="A18" t="str">
        <f>'STATIC OUTPUT'!E18</f>
        <v>xy=0.591782184486297</v>
      </c>
      <c r="B18" s="98">
        <f>'STATIC OUTPUT'!F18</f>
        <v>4.2455725657897769</v>
      </c>
      <c r="C18">
        <f>'STATIC OUTPUT'!G18</f>
        <v>0</v>
      </c>
    </row>
    <row r="19" spans="1:3" x14ac:dyDescent="0.25">
      <c r="A19" t="str">
        <f>'STATIC OUTPUT'!E19</f>
        <v>xy=0.90251977311476</v>
      </c>
      <c r="B19" s="98">
        <f>'STATIC OUTPUT'!F19</f>
        <v>4.107851285613588</v>
      </c>
      <c r="C19">
        <f>'STATIC OUTPUT'!G19</f>
        <v>0</v>
      </c>
    </row>
    <row r="20" spans="1:3" x14ac:dyDescent="0.25">
      <c r="A20" t="str">
        <f>'STATIC OUTPUT'!E20</f>
        <v>xy=1.09231621800094</v>
      </c>
      <c r="B20" s="98">
        <f>'STATIC OUTPUT'!F20</f>
        <v>3.9913252820411382</v>
      </c>
      <c r="C20">
        <f>'STATIC OUTPUT'!G20</f>
        <v>0</v>
      </c>
    </row>
    <row r="21" spans="1:3" x14ac:dyDescent="0.25">
      <c r="A21" t="str">
        <f>'STATIC OUTPUT'!E21</f>
        <v>xy=1.34052473966789</v>
      </c>
      <c r="B21" s="98">
        <f>'STATIC OUTPUT'!F21</f>
        <v>3.6649611759082679</v>
      </c>
      <c r="C21">
        <f>'STATIC OUTPUT'!G21</f>
        <v>0</v>
      </c>
    </row>
    <row r="22" spans="1:3" x14ac:dyDescent="0.25">
      <c r="A22" t="str">
        <f>'STATIC OUTPUT'!E22</f>
        <v>xy=1.43859782936889</v>
      </c>
      <c r="B22" s="98">
        <f>'STATIC OUTPUT'!F22</f>
        <v>1.2069168986267331</v>
      </c>
      <c r="C22">
        <f>'STATIC OUTPUT'!G22</f>
        <v>0</v>
      </c>
    </row>
    <row r="23" spans="1:3" x14ac:dyDescent="0.25">
      <c r="A23" t="str">
        <f>'STATIC OUTPUT'!E23</f>
        <v>xy=1.40362565469212</v>
      </c>
      <c r="B23" s="98">
        <f>'STATIC OUTPUT'!F23</f>
        <v>1.2055215497895237</v>
      </c>
      <c r="C23">
        <f>'STATIC OUTPUT'!G23</f>
        <v>0</v>
      </c>
    </row>
    <row r="24" spans="1:3" x14ac:dyDescent="0.25">
      <c r="A24" t="str">
        <f>'STATIC OUTPUT'!E24</f>
        <v>xy=1.43452266465889</v>
      </c>
      <c r="B24" s="98">
        <f>'STATIC OUTPUT'!F24</f>
        <v>0.43113768194676411</v>
      </c>
      <c r="C24">
        <f>'STATIC OUTPUT'!G24</f>
        <v>0</v>
      </c>
    </row>
    <row r="25" spans="1:3" x14ac:dyDescent="0.25">
      <c r="A25" t="str">
        <f>'STATIC OUTPUT'!E25</f>
        <v>xy=1.21239986894245</v>
      </c>
      <c r="B25" s="98">
        <f>'STATIC OUTPUT'!F25</f>
        <v>0.22912168351320095</v>
      </c>
      <c r="C25">
        <f>'STATIC OUTPUT'!G25</f>
        <v>0</v>
      </c>
    </row>
    <row r="26" spans="1:3" x14ac:dyDescent="0.25">
      <c r="A26" t="str">
        <f>'STATIC OUTPUT'!E26</f>
        <v>xy=0.932622471528289</v>
      </c>
      <c r="B26" s="98">
        <f>'STATIC OUTPUT'!F26</f>
        <v>0.21795889281552649</v>
      </c>
      <c r="C26">
        <f>'STATIC OUTPUT'!G26</f>
        <v>0</v>
      </c>
    </row>
    <row r="27" spans="1:3" x14ac:dyDescent="0.25">
      <c r="A27" t="str">
        <f>'STATIC OUTPUT'!E27</f>
        <v>xy=0.938682272192741</v>
      </c>
      <c r="B27" s="98">
        <f>'STATIC OUTPUT'!F27</f>
        <v>6.6079734219269104E-2</v>
      </c>
      <c r="C27">
        <f>'STATIC OUTPUT'!G27</f>
        <v>0</v>
      </c>
    </row>
    <row r="28" spans="1:3" x14ac:dyDescent="0.25">
      <c r="A28" t="str">
        <f>'STATIC OUTPUT'!E28</f>
        <v>xy=0.677889769603115</v>
      </c>
      <c r="B28" s="98">
        <f>'STATIC OUTPUT'!F28</f>
        <v>5.5674418604651159E-2</v>
      </c>
      <c r="C28">
        <f>'STATIC OUTPUT'!G28</f>
        <v>0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K49"/>
  <sheetViews>
    <sheetView workbookViewId="0">
      <selection activeCell="E29" sqref="E29"/>
    </sheetView>
  </sheetViews>
  <sheetFormatPr defaultColWidth="9.09765625" defaultRowHeight="11.5" x14ac:dyDescent="0.25"/>
  <cols>
    <col min="1" max="16384" width="9.09765625" style="101"/>
  </cols>
  <sheetData>
    <row r="1" spans="1:11" x14ac:dyDescent="0.25">
      <c r="A1" s="471" t="s">
        <v>81</v>
      </c>
      <c r="B1" s="472"/>
      <c r="C1" s="472"/>
      <c r="D1" s="472"/>
      <c r="E1" s="472"/>
      <c r="F1" s="472"/>
      <c r="G1" s="472"/>
      <c r="H1" s="472"/>
      <c r="I1" s="472"/>
      <c r="J1" s="472"/>
      <c r="K1" s="473"/>
    </row>
    <row r="2" spans="1:11" x14ac:dyDescent="0.25">
      <c r="A2" s="474"/>
      <c r="B2" s="475"/>
      <c r="C2" s="475"/>
      <c r="D2" s="475"/>
      <c r="E2" s="475"/>
      <c r="F2" s="475"/>
      <c r="G2" s="475"/>
      <c r="H2" s="475"/>
      <c r="I2" s="475"/>
      <c r="J2" s="475"/>
      <c r="K2" s="476"/>
    </row>
    <row r="3" spans="1:11" x14ac:dyDescent="0.25">
      <c r="A3" s="102"/>
      <c r="B3" s="85"/>
      <c r="C3" s="85"/>
      <c r="D3" s="85"/>
      <c r="E3" s="85"/>
      <c r="F3" s="85"/>
      <c r="G3" s="85"/>
      <c r="H3" s="85"/>
      <c r="I3" s="85"/>
      <c r="J3" s="85"/>
      <c r="K3" s="103"/>
    </row>
    <row r="4" spans="1:11" ht="12" customHeight="1" x14ac:dyDescent="0.25">
      <c r="A4" s="109" t="s">
        <v>82</v>
      </c>
      <c r="B4" s="107"/>
      <c r="C4" s="107"/>
      <c r="D4" s="107"/>
      <c r="E4" s="107"/>
      <c r="F4" s="107"/>
      <c r="G4" s="107"/>
      <c r="H4" s="107"/>
      <c r="I4" s="107"/>
      <c r="J4" s="107"/>
      <c r="K4" s="108"/>
    </row>
    <row r="5" spans="1:11" x14ac:dyDescent="0.25">
      <c r="A5" s="102"/>
      <c r="B5" s="85"/>
      <c r="C5" s="85"/>
      <c r="D5" s="85"/>
      <c r="E5" s="85"/>
      <c r="F5" s="85"/>
      <c r="G5" s="85"/>
      <c r="H5" s="85"/>
      <c r="I5" s="85"/>
      <c r="J5" s="85"/>
      <c r="K5" s="103"/>
    </row>
    <row r="6" spans="1:11" x14ac:dyDescent="0.25">
      <c r="A6" s="102" t="s">
        <v>83</v>
      </c>
      <c r="B6" s="85"/>
      <c r="C6" s="85"/>
      <c r="D6" s="85"/>
      <c r="E6" s="85"/>
      <c r="F6" s="85"/>
      <c r="G6" s="85"/>
      <c r="H6" s="85"/>
      <c r="I6" s="85"/>
      <c r="J6" s="85"/>
      <c r="K6" s="103"/>
    </row>
    <row r="7" spans="1:11" x14ac:dyDescent="0.25">
      <c r="A7" s="102"/>
      <c r="B7" s="85"/>
      <c r="C7" s="85"/>
      <c r="D7" s="85"/>
      <c r="E7" s="85"/>
      <c r="F7" s="85"/>
      <c r="G7" s="85"/>
      <c r="H7" s="85"/>
      <c r="I7" s="85"/>
      <c r="J7" s="85"/>
      <c r="K7" s="103"/>
    </row>
    <row r="8" spans="1:11" ht="48.75" customHeight="1" x14ac:dyDescent="0.25">
      <c r="A8" s="477" t="s">
        <v>84</v>
      </c>
      <c r="B8" s="478"/>
      <c r="C8" s="478"/>
      <c r="D8" s="478"/>
      <c r="E8" s="478"/>
      <c r="F8" s="478"/>
      <c r="G8" s="478"/>
      <c r="H8" s="478"/>
      <c r="I8" s="478"/>
      <c r="J8" s="478"/>
      <c r="K8" s="479"/>
    </row>
    <row r="9" spans="1:11" x14ac:dyDescent="0.25">
      <c r="A9" s="102"/>
      <c r="B9" s="85"/>
      <c r="C9" s="85"/>
      <c r="D9" s="85"/>
      <c r="E9" s="85"/>
      <c r="F9" s="85"/>
      <c r="G9" s="85"/>
      <c r="H9" s="85"/>
      <c r="I9" s="85"/>
      <c r="J9" s="85"/>
      <c r="K9" s="103"/>
    </row>
    <row r="10" spans="1:11" x14ac:dyDescent="0.25">
      <c r="A10" s="102" t="s">
        <v>85</v>
      </c>
      <c r="B10" s="85"/>
      <c r="C10" s="85"/>
      <c r="D10" s="85"/>
      <c r="E10" s="85"/>
      <c r="F10" s="85"/>
      <c r="G10" s="85"/>
      <c r="H10" s="85"/>
      <c r="I10" s="85"/>
      <c r="J10" s="85"/>
      <c r="K10" s="103"/>
    </row>
    <row r="11" spans="1:11" x14ac:dyDescent="0.25">
      <c r="A11" s="102"/>
      <c r="B11" s="85"/>
      <c r="C11" s="85"/>
      <c r="D11" s="85"/>
      <c r="E11" s="85"/>
      <c r="F11" s="85"/>
      <c r="G11" s="85"/>
      <c r="H11" s="85"/>
      <c r="I11" s="85"/>
      <c r="J11" s="85"/>
      <c r="K11" s="103"/>
    </row>
    <row r="12" spans="1:11" x14ac:dyDescent="0.25">
      <c r="A12" s="102"/>
      <c r="B12" s="85"/>
      <c r="C12" s="85"/>
      <c r="D12" s="85"/>
      <c r="E12" s="85"/>
      <c r="F12" s="85"/>
      <c r="G12" s="85"/>
      <c r="H12" s="85"/>
      <c r="I12" s="85"/>
      <c r="J12" s="85"/>
      <c r="K12" s="103"/>
    </row>
    <row r="13" spans="1:11" x14ac:dyDescent="0.25">
      <c r="A13" s="102"/>
      <c r="B13" s="85"/>
      <c r="C13" s="85"/>
      <c r="D13" s="85"/>
      <c r="E13" s="85"/>
      <c r="F13" s="85"/>
      <c r="G13" s="85"/>
      <c r="H13" s="85"/>
      <c r="I13" s="85"/>
      <c r="J13" s="85"/>
      <c r="K13" s="103"/>
    </row>
    <row r="14" spans="1:11" x14ac:dyDescent="0.25">
      <c r="A14" s="102"/>
      <c r="B14" s="85"/>
      <c r="C14" s="85"/>
      <c r="D14" s="85"/>
      <c r="E14" s="85"/>
      <c r="F14" s="85"/>
      <c r="G14" s="85"/>
      <c r="H14" s="85"/>
      <c r="I14" s="85"/>
      <c r="J14" s="85"/>
      <c r="K14" s="103"/>
    </row>
    <row r="15" spans="1:11" x14ac:dyDescent="0.25">
      <c r="A15" s="102"/>
      <c r="B15" s="85"/>
      <c r="C15" s="85"/>
      <c r="D15" s="85"/>
      <c r="E15" s="85"/>
      <c r="F15" s="85"/>
      <c r="G15" s="85"/>
      <c r="H15" s="85"/>
      <c r="I15" s="85"/>
      <c r="J15" s="85"/>
      <c r="K15" s="103"/>
    </row>
    <row r="16" spans="1:11" x14ac:dyDescent="0.25">
      <c r="A16" s="102"/>
      <c r="B16" s="85"/>
      <c r="C16" s="85"/>
      <c r="D16" s="85"/>
      <c r="E16" s="85"/>
      <c r="F16" s="85"/>
      <c r="G16" s="85"/>
      <c r="H16" s="85"/>
      <c r="I16" s="85"/>
      <c r="J16" s="85"/>
      <c r="K16" s="103"/>
    </row>
    <row r="17" spans="1:11" x14ac:dyDescent="0.25">
      <c r="A17" s="102"/>
      <c r="B17" s="85"/>
      <c r="C17" s="85"/>
      <c r="D17" s="85"/>
      <c r="E17" s="85"/>
      <c r="F17" s="85"/>
      <c r="G17" s="85"/>
      <c r="H17" s="85"/>
      <c r="I17" s="85"/>
      <c r="J17" s="85"/>
      <c r="K17" s="103"/>
    </row>
    <row r="18" spans="1:11" x14ac:dyDescent="0.25">
      <c r="A18" s="102"/>
      <c r="B18" s="85"/>
      <c r="C18" s="85"/>
      <c r="D18" s="85"/>
      <c r="E18" s="85"/>
      <c r="F18" s="85"/>
      <c r="G18" s="85"/>
      <c r="H18" s="85"/>
      <c r="I18" s="85"/>
      <c r="J18" s="85"/>
      <c r="K18" s="103"/>
    </row>
    <row r="19" spans="1:11" x14ac:dyDescent="0.25">
      <c r="A19" s="102"/>
      <c r="B19" s="85"/>
      <c r="C19" s="85"/>
      <c r="D19" s="85"/>
      <c r="E19" s="85"/>
      <c r="F19" s="85"/>
      <c r="G19" s="85"/>
      <c r="H19" s="85"/>
      <c r="I19" s="85"/>
      <c r="J19" s="85"/>
      <c r="K19" s="103"/>
    </row>
    <row r="20" spans="1:11" x14ac:dyDescent="0.25">
      <c r="A20" s="102"/>
      <c r="B20" s="85"/>
      <c r="C20" s="85"/>
      <c r="D20" s="85"/>
      <c r="E20" s="85"/>
      <c r="F20" s="85"/>
      <c r="G20" s="85"/>
      <c r="H20" s="85"/>
      <c r="I20" s="85"/>
      <c r="J20" s="85"/>
      <c r="K20" s="103"/>
    </row>
    <row r="21" spans="1:11" x14ac:dyDescent="0.25">
      <c r="A21" s="102"/>
      <c r="B21" s="85"/>
      <c r="C21" s="85"/>
      <c r="D21" s="85"/>
      <c r="E21" s="85"/>
      <c r="F21" s="85"/>
      <c r="G21" s="85"/>
      <c r="H21" s="85"/>
      <c r="I21" s="85"/>
      <c r="J21" s="85"/>
      <c r="K21" s="103"/>
    </row>
    <row r="22" spans="1:11" x14ac:dyDescent="0.25">
      <c r="A22" s="102"/>
      <c r="B22" s="85"/>
      <c r="C22" s="85"/>
      <c r="D22" s="85"/>
      <c r="E22" s="85"/>
      <c r="F22" s="85"/>
      <c r="G22" s="85"/>
      <c r="H22" s="85"/>
      <c r="I22" s="85"/>
      <c r="J22" s="85"/>
      <c r="K22" s="103"/>
    </row>
    <row r="23" spans="1:11" x14ac:dyDescent="0.25">
      <c r="A23" s="102"/>
      <c r="B23" s="85"/>
      <c r="C23" s="85"/>
      <c r="D23" s="85"/>
      <c r="E23" s="85"/>
      <c r="F23" s="85"/>
      <c r="G23" s="85"/>
      <c r="H23" s="85"/>
      <c r="I23" s="85"/>
      <c r="J23" s="85"/>
      <c r="K23" s="103"/>
    </row>
    <row r="24" spans="1:11" x14ac:dyDescent="0.25">
      <c r="A24" s="102"/>
      <c r="B24" s="85"/>
      <c r="C24" s="85"/>
      <c r="D24" s="85"/>
      <c r="E24" s="85"/>
      <c r="F24" s="85"/>
      <c r="G24" s="85"/>
      <c r="H24" s="85"/>
      <c r="I24" s="85"/>
      <c r="J24" s="85"/>
      <c r="K24" s="103"/>
    </row>
    <row r="25" spans="1:11" x14ac:dyDescent="0.25">
      <c r="A25" s="102"/>
      <c r="B25" s="85"/>
      <c r="C25" s="85"/>
      <c r="D25" s="85"/>
      <c r="E25" s="85"/>
      <c r="F25" s="85"/>
      <c r="G25" s="85"/>
      <c r="H25" s="85"/>
      <c r="I25" s="85"/>
      <c r="J25" s="85"/>
      <c r="K25" s="103"/>
    </row>
    <row r="26" spans="1:11" x14ac:dyDescent="0.25">
      <c r="A26" s="102"/>
      <c r="B26" s="85"/>
      <c r="C26" s="85"/>
      <c r="D26" s="85"/>
      <c r="E26" s="85"/>
      <c r="F26" s="85"/>
      <c r="G26" s="85"/>
      <c r="H26" s="85"/>
      <c r="I26" s="85"/>
      <c r="J26" s="85"/>
      <c r="K26" s="103"/>
    </row>
    <row r="27" spans="1:11" x14ac:dyDescent="0.25">
      <c r="A27" s="102"/>
      <c r="B27" s="85"/>
      <c r="C27" s="85"/>
      <c r="D27" s="85"/>
      <c r="E27" s="85"/>
      <c r="F27" s="85"/>
      <c r="G27" s="85"/>
      <c r="H27" s="85"/>
      <c r="I27" s="85"/>
      <c r="J27" s="85"/>
      <c r="K27" s="103"/>
    </row>
    <row r="28" spans="1:11" x14ac:dyDescent="0.25">
      <c r="A28" s="102"/>
      <c r="B28" s="85"/>
      <c r="C28" s="85"/>
      <c r="D28" s="85"/>
      <c r="E28" s="85"/>
      <c r="F28" s="85"/>
      <c r="G28" s="85"/>
      <c r="H28" s="85"/>
      <c r="I28" s="85"/>
      <c r="J28" s="85"/>
      <c r="K28" s="103"/>
    </row>
    <row r="29" spans="1:11" x14ac:dyDescent="0.25">
      <c r="A29" s="102"/>
      <c r="B29" s="85"/>
      <c r="C29" s="85"/>
      <c r="D29" s="85"/>
      <c r="E29" s="85"/>
      <c r="F29" s="85"/>
      <c r="G29" s="85"/>
      <c r="H29" s="85"/>
      <c r="I29" s="85"/>
      <c r="J29" s="85"/>
      <c r="K29" s="103"/>
    </row>
    <row r="30" spans="1:11" x14ac:dyDescent="0.25">
      <c r="A30" s="102"/>
      <c r="B30" s="85"/>
      <c r="C30" s="85"/>
      <c r="D30" s="85"/>
      <c r="E30" s="85"/>
      <c r="F30" s="85"/>
      <c r="G30" s="85"/>
      <c r="H30" s="85"/>
      <c r="I30" s="85"/>
      <c r="J30" s="85"/>
      <c r="K30" s="103"/>
    </row>
    <row r="31" spans="1:11" x14ac:dyDescent="0.25">
      <c r="A31" s="102"/>
      <c r="B31" s="85"/>
      <c r="C31" s="85"/>
      <c r="D31" s="85"/>
      <c r="E31" s="85"/>
      <c r="F31" s="85"/>
      <c r="G31" s="85"/>
      <c r="H31" s="85"/>
      <c r="I31" s="85"/>
      <c r="J31" s="85"/>
      <c r="K31" s="103"/>
    </row>
    <row r="32" spans="1:11" x14ac:dyDescent="0.25">
      <c r="A32" s="102"/>
      <c r="B32" s="85"/>
      <c r="C32" s="85"/>
      <c r="D32" s="85"/>
      <c r="E32" s="85"/>
      <c r="F32" s="85"/>
      <c r="G32" s="85"/>
      <c r="H32" s="85"/>
      <c r="I32" s="85"/>
      <c r="J32" s="85"/>
      <c r="K32" s="103"/>
    </row>
    <row r="33" spans="1:11" x14ac:dyDescent="0.25">
      <c r="A33" s="102"/>
      <c r="B33" s="85"/>
      <c r="C33" s="85"/>
      <c r="D33" s="85"/>
      <c r="E33" s="85"/>
      <c r="F33" s="85"/>
      <c r="G33" s="85"/>
      <c r="H33" s="85"/>
      <c r="I33" s="85"/>
      <c r="J33" s="85"/>
      <c r="K33" s="103"/>
    </row>
    <row r="34" spans="1:11" x14ac:dyDescent="0.25">
      <c r="A34" s="102"/>
      <c r="B34" s="85"/>
      <c r="C34" s="85"/>
      <c r="D34" s="85"/>
      <c r="E34" s="85"/>
      <c r="F34" s="85"/>
      <c r="G34" s="85"/>
      <c r="H34" s="85"/>
      <c r="I34" s="85"/>
      <c r="J34" s="85"/>
      <c r="K34" s="103"/>
    </row>
    <row r="35" spans="1:11" x14ac:dyDescent="0.25">
      <c r="A35" s="102"/>
      <c r="B35" s="85"/>
      <c r="C35" s="85"/>
      <c r="D35" s="85"/>
      <c r="E35" s="85"/>
      <c r="F35" s="85"/>
      <c r="G35" s="85"/>
      <c r="H35" s="85"/>
      <c r="I35" s="85"/>
      <c r="J35" s="85"/>
      <c r="K35" s="103"/>
    </row>
    <row r="36" spans="1:11" x14ac:dyDescent="0.25">
      <c r="A36" s="102"/>
      <c r="B36" s="85"/>
      <c r="C36" s="85"/>
      <c r="D36" s="85"/>
      <c r="E36" s="85"/>
      <c r="F36" s="85"/>
      <c r="G36" s="85"/>
      <c r="H36" s="85"/>
      <c r="I36" s="85"/>
      <c r="J36" s="85"/>
      <c r="K36" s="103"/>
    </row>
    <row r="37" spans="1:11" x14ac:dyDescent="0.25">
      <c r="A37" s="102"/>
      <c r="B37" s="85"/>
      <c r="C37" s="85"/>
      <c r="D37" s="85"/>
      <c r="E37" s="85"/>
      <c r="F37" s="85"/>
      <c r="G37" s="85"/>
      <c r="H37" s="85"/>
      <c r="I37" s="85"/>
      <c r="J37" s="85"/>
      <c r="K37" s="103"/>
    </row>
    <row r="38" spans="1:11" x14ac:dyDescent="0.25">
      <c r="A38" s="102"/>
      <c r="B38" s="85"/>
      <c r="C38" s="85"/>
      <c r="D38" s="85"/>
      <c r="E38" s="85"/>
      <c r="F38" s="85"/>
      <c r="G38" s="85"/>
      <c r="H38" s="85"/>
      <c r="I38" s="85"/>
      <c r="J38" s="85"/>
      <c r="K38" s="103"/>
    </row>
    <row r="39" spans="1:11" x14ac:dyDescent="0.25">
      <c r="A39" s="102"/>
      <c r="B39" s="85"/>
      <c r="C39" s="85"/>
      <c r="D39" s="85"/>
      <c r="E39" s="85"/>
      <c r="F39" s="85"/>
      <c r="G39" s="85"/>
      <c r="H39" s="85"/>
      <c r="I39" s="85"/>
      <c r="J39" s="85"/>
      <c r="K39" s="103"/>
    </row>
    <row r="40" spans="1:11" x14ac:dyDescent="0.25">
      <c r="A40" s="102"/>
      <c r="B40" s="85"/>
      <c r="C40" s="85"/>
      <c r="D40" s="85"/>
      <c r="E40" s="85"/>
      <c r="F40" s="85"/>
      <c r="G40" s="85"/>
      <c r="H40" s="85"/>
      <c r="I40" s="85"/>
      <c r="J40" s="85"/>
      <c r="K40" s="103"/>
    </row>
    <row r="41" spans="1:11" x14ac:dyDescent="0.25">
      <c r="A41" s="102"/>
      <c r="B41" s="85"/>
      <c r="C41" s="85"/>
      <c r="D41" s="85"/>
      <c r="E41" s="85"/>
      <c r="F41" s="85"/>
      <c r="G41" s="85"/>
      <c r="H41" s="85"/>
      <c r="I41" s="85"/>
      <c r="J41" s="85"/>
      <c r="K41" s="103"/>
    </row>
    <row r="42" spans="1:11" x14ac:dyDescent="0.25">
      <c r="A42" s="102"/>
      <c r="B42" s="85"/>
      <c r="C42" s="85"/>
      <c r="D42" s="85"/>
      <c r="E42" s="85"/>
      <c r="F42" s="85"/>
      <c r="G42" s="85"/>
      <c r="H42" s="85"/>
      <c r="I42" s="85"/>
      <c r="J42" s="85"/>
      <c r="K42" s="103"/>
    </row>
    <row r="43" spans="1:11" x14ac:dyDescent="0.25">
      <c r="A43" s="102"/>
      <c r="B43" s="85"/>
      <c r="C43" s="85"/>
      <c r="D43" s="85"/>
      <c r="E43" s="85"/>
      <c r="F43" s="85"/>
      <c r="G43" s="85"/>
      <c r="H43" s="85"/>
      <c r="I43" s="85"/>
      <c r="J43" s="85"/>
      <c r="K43" s="103"/>
    </row>
    <row r="44" spans="1:11" x14ac:dyDescent="0.25">
      <c r="A44" s="102"/>
      <c r="B44" s="85"/>
      <c r="C44" s="85"/>
      <c r="D44" s="85"/>
      <c r="E44" s="85"/>
      <c r="F44" s="85"/>
      <c r="G44" s="85"/>
      <c r="H44" s="85"/>
      <c r="I44" s="85"/>
      <c r="J44" s="85"/>
      <c r="K44" s="103"/>
    </row>
    <row r="45" spans="1:11" x14ac:dyDescent="0.25">
      <c r="A45" s="102"/>
      <c r="B45" s="85"/>
      <c r="C45" s="85"/>
      <c r="D45" s="85"/>
      <c r="E45" s="85"/>
      <c r="F45" s="85"/>
      <c r="G45" s="85"/>
      <c r="H45" s="85"/>
      <c r="I45" s="85"/>
      <c r="J45" s="85"/>
      <c r="K45" s="103"/>
    </row>
    <row r="46" spans="1:11" x14ac:dyDescent="0.25">
      <c r="A46" s="102"/>
      <c r="B46" s="85"/>
      <c r="C46" s="85"/>
      <c r="D46" s="85"/>
      <c r="E46" s="85"/>
      <c r="F46" s="85"/>
      <c r="G46" s="85"/>
      <c r="H46" s="85"/>
      <c r="I46" s="85"/>
      <c r="J46" s="85"/>
      <c r="K46" s="103"/>
    </row>
    <row r="47" spans="1:11" x14ac:dyDescent="0.25">
      <c r="A47" s="102"/>
      <c r="B47" s="85"/>
      <c r="C47" s="85"/>
      <c r="D47" s="85"/>
      <c r="E47" s="85"/>
      <c r="F47" s="85"/>
      <c r="G47" s="85"/>
      <c r="H47" s="85"/>
      <c r="I47" s="85"/>
      <c r="J47" s="85"/>
      <c r="K47" s="103"/>
    </row>
    <row r="48" spans="1:11" x14ac:dyDescent="0.25">
      <c r="A48" s="102"/>
      <c r="B48" s="85"/>
      <c r="C48" s="85"/>
      <c r="D48" s="85"/>
      <c r="E48" s="85"/>
      <c r="F48" s="85"/>
      <c r="G48" s="85"/>
      <c r="H48" s="85"/>
      <c r="I48" s="85"/>
      <c r="J48" s="85"/>
      <c r="K48" s="103"/>
    </row>
    <row r="49" spans="1:11" ht="12" thickBot="1" x14ac:dyDescent="0.3">
      <c r="A49" s="104"/>
      <c r="B49" s="105"/>
      <c r="C49" s="105"/>
      <c r="D49" s="105"/>
      <c r="E49" s="105"/>
      <c r="F49" s="105"/>
      <c r="G49" s="105"/>
      <c r="H49" s="105"/>
      <c r="I49" s="105"/>
      <c r="J49" s="105"/>
      <c r="K49" s="106"/>
    </row>
  </sheetData>
  <mergeCells count="2">
    <mergeCell ref="A1:K2"/>
    <mergeCell ref="A8:K8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</vt:i4>
      </vt:variant>
    </vt:vector>
  </HeadingPairs>
  <TitlesOfParts>
    <vt:vector size="39" baseType="lpstr">
      <vt:lpstr>INPUT</vt:lpstr>
      <vt:lpstr>Calculations</vt:lpstr>
      <vt:lpstr>Output</vt:lpstr>
      <vt:lpstr>Vehicle &amp; Track Data</vt:lpstr>
      <vt:lpstr>RAILS</vt:lpstr>
      <vt:lpstr>RAILS OUTPUT</vt:lpstr>
      <vt:lpstr>KE2 OUTPUT</vt:lpstr>
      <vt:lpstr>KE2</vt:lpstr>
      <vt:lpstr>KE1 OUTPUT</vt:lpstr>
      <vt:lpstr>KE1</vt:lpstr>
      <vt:lpstr>SG OUTPUT</vt:lpstr>
      <vt:lpstr>SG</vt:lpstr>
      <vt:lpstr>TEXT</vt:lpstr>
      <vt:lpstr>TEXT OUTPUT</vt:lpstr>
      <vt:lpstr>STATIC OUTPUT</vt:lpstr>
      <vt:lpstr>STATIC</vt:lpstr>
      <vt:lpstr>Sheet1</vt:lpstr>
      <vt:lpstr>ARTC_Tolerances</vt:lpstr>
      <vt:lpstr>KE1Range</vt:lpstr>
      <vt:lpstr>KE2Range</vt:lpstr>
      <vt:lpstr>KE3Range</vt:lpstr>
      <vt:lpstr>KE4Range</vt:lpstr>
      <vt:lpstr>Max_Left</vt:lpstr>
      <vt:lpstr>Max_Right</vt:lpstr>
      <vt:lpstr>Max_Vert</vt:lpstr>
      <vt:lpstr>INPUT!Print_Area</vt:lpstr>
      <vt:lpstr>RailsRange</vt:lpstr>
      <vt:lpstr>RC_Platform_Clearance</vt:lpstr>
      <vt:lpstr>RC_Platform_Tolerances</vt:lpstr>
      <vt:lpstr>RC_Tolerances</vt:lpstr>
      <vt:lpstr>Sleeper_Type</vt:lpstr>
      <vt:lpstr>StaticRange</vt:lpstr>
      <vt:lpstr>Str_Height</vt:lpstr>
      <vt:lpstr>Str_Left</vt:lpstr>
      <vt:lpstr>Str_Right</vt:lpstr>
      <vt:lpstr>StructureGaugeRange</vt:lpstr>
      <vt:lpstr>TextRange</vt:lpstr>
      <vt:lpstr>Vehicle_Characteristics</vt:lpstr>
      <vt:lpstr>Vehicle_Type</vt:lpstr>
    </vt:vector>
  </TitlesOfParts>
  <Company>AECOM Australia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MARSONJ</dc:creator>
  <cp:lastModifiedBy>Lin, Peggy</cp:lastModifiedBy>
  <dcterms:created xsi:type="dcterms:W3CDTF">2011-02-24T23:45:26Z</dcterms:created>
  <dcterms:modified xsi:type="dcterms:W3CDTF">2021-05-13T03:19:59Z</dcterms:modified>
</cp:coreProperties>
</file>